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pwskills\Excel\Assignments\"/>
    </mc:Choice>
  </mc:AlternateContent>
  <xr:revisionPtr revIDLastSave="0" documentId="8_{875DFC64-6006-4031-B7EE-7604EE1A67B1}" xr6:coauthVersionLast="47" xr6:coauthVersionMax="47" xr10:uidLastSave="{00000000-0000-0000-0000-000000000000}"/>
  <bookViews>
    <workbookView xWindow="28695" yWindow="-5340" windowWidth="26010" windowHeight="20985" activeTab="4" xr2:uid="{49B153BF-793C-4B90-BFE1-1B9ED37E082E}"/>
  </bookViews>
  <sheets>
    <sheet name="Referred" sheetId="2" r:id="rId1"/>
    <sheet name="Sheet3" sheetId="3" r:id="rId2"/>
    <sheet name="Pivots for Dash" sheetId="6" r:id="rId3"/>
    <sheet name="Dashboard" sheetId="7" r:id="rId4"/>
    <sheet name="Gender &amp; Age Distribution" sheetId="8" r:id="rId5"/>
    <sheet name="Dataset" sheetId="1" r:id="rId6"/>
  </sheets>
  <definedNames>
    <definedName name="_xlnm._FilterDatabase" localSheetId="5" hidden="1">Dataset!$A$1:$O$36</definedName>
    <definedName name="Slicer_City">#N/A</definedName>
    <definedName name="Slicer_Gender">#N/A</definedName>
    <definedName name="Slicer_Membership_Type">#N/A</definedName>
    <definedName name="Slicer_Referred">#N/A</definedName>
  </definedNames>
  <calcPr calcId="191029"/>
  <pivotCaches>
    <pivotCache cacheId="0" r:id="rId7"/>
    <pivotCache cacheId="6" r:id="rId8"/>
    <pivotCache cacheId="11" r:id="rId9"/>
  </pivotCaches>
  <extLst>
    <ext xmlns:x14="http://schemas.microsoft.com/office/spreadsheetml/2009/9/main" uri="{BBE1A952-AA13-448e-AADC-164F8A28A991}">
      <x14:slicerCaches>
        <x14:slicerCache r:id="rId10"/>
        <x14:slicerCache r:id="rId11"/>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3" i="1" l="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2" i="1"/>
  <c r="I16" i="6"/>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2" i="1"/>
</calcChain>
</file>

<file path=xl/sharedStrings.xml><?xml version="1.0" encoding="utf-8"?>
<sst xmlns="http://schemas.openxmlformats.org/spreadsheetml/2006/main" count="397" uniqueCount="129">
  <si>
    <t>Full_Name</t>
  </si>
  <si>
    <t>Age</t>
  </si>
  <si>
    <t>Gender</t>
  </si>
  <si>
    <t>Membership_Type</t>
  </si>
  <si>
    <t>Start_Date</t>
  </si>
  <si>
    <t>End_Date</t>
  </si>
  <si>
    <t>Monthly_Fee</t>
  </si>
  <si>
    <t>Attendance</t>
  </si>
  <si>
    <t>City</t>
  </si>
  <si>
    <t>Referred_By</t>
  </si>
  <si>
    <t>M001</t>
  </si>
  <si>
    <t>Anay Shanker</t>
  </si>
  <si>
    <t>Male</t>
  </si>
  <si>
    <t>Basic</t>
  </si>
  <si>
    <t>Bengaluru</t>
  </si>
  <si>
    <t>Hiran Shan</t>
  </si>
  <si>
    <t>M002</t>
  </si>
  <si>
    <t>Parinaaz Shanker</t>
  </si>
  <si>
    <t>Pune</t>
  </si>
  <si>
    <t>Kiara Kakar</t>
  </si>
  <si>
    <t>M003</t>
  </si>
  <si>
    <t>Aniruddh Batra</t>
  </si>
  <si>
    <t>Standard</t>
  </si>
  <si>
    <t>Hyderabad</t>
  </si>
  <si>
    <t>Jhanvi Chaudhary</t>
  </si>
  <si>
    <t>M004</t>
  </si>
  <si>
    <t>Madhup Kapur</t>
  </si>
  <si>
    <t>Female</t>
  </si>
  <si>
    <t>Tara Swaminathan</t>
  </si>
  <si>
    <t>M005</t>
  </si>
  <si>
    <t>Rasha Kakar</t>
  </si>
  <si>
    <t>Family</t>
  </si>
  <si>
    <t>Madhav Singh</t>
  </si>
  <si>
    <t>M006</t>
  </si>
  <si>
    <t>Ehsaan Batra</t>
  </si>
  <si>
    <t>Mumbai</t>
  </si>
  <si>
    <t>Shray Ramakrishnan</t>
  </si>
  <si>
    <t>M007</t>
  </si>
  <si>
    <t>Zara Bains</t>
  </si>
  <si>
    <t>M008</t>
  </si>
  <si>
    <t>Uthkarsh Baral</t>
  </si>
  <si>
    <t>Premium</t>
  </si>
  <si>
    <t>Kolkata</t>
  </si>
  <si>
    <t>M009</t>
  </si>
  <si>
    <t>Kashvi Char</t>
  </si>
  <si>
    <t>Nitara Comar</t>
  </si>
  <si>
    <t>M010</t>
  </si>
  <si>
    <t>Dhanush Varma</t>
  </si>
  <si>
    <t>Ranbir Karan</t>
  </si>
  <si>
    <t>M011</t>
  </si>
  <si>
    <t>Ishaan Goyal</t>
  </si>
  <si>
    <t>Rati Sanghvi</t>
  </si>
  <si>
    <t>M012</t>
  </si>
  <si>
    <t>Mahika Ravi</t>
  </si>
  <si>
    <t>Ishaan Kashyap</t>
  </si>
  <si>
    <t>M013</t>
  </si>
  <si>
    <t>Purab Reddy</t>
  </si>
  <si>
    <t>M014</t>
  </si>
  <si>
    <t>Tiya Soni</t>
  </si>
  <si>
    <t>M015</t>
  </si>
  <si>
    <t>Zara Dugar</t>
  </si>
  <si>
    <t>M016</t>
  </si>
  <si>
    <t>Lakshit Mander</t>
  </si>
  <si>
    <t>M017</t>
  </si>
  <si>
    <t>Neysa Krish</t>
  </si>
  <si>
    <t>M018</t>
  </si>
  <si>
    <t>Prerak Boase</t>
  </si>
  <si>
    <t>Delhi</t>
  </si>
  <si>
    <t>M019</t>
  </si>
  <si>
    <t>Siya Master</t>
  </si>
  <si>
    <t>M020</t>
  </si>
  <si>
    <t>Madhup Biswas</t>
  </si>
  <si>
    <t>Tanya Bajwa</t>
  </si>
  <si>
    <t>M021</t>
  </si>
  <si>
    <t>Indrans Ratti</t>
  </si>
  <si>
    <t>M022</t>
  </si>
  <si>
    <t>Kimaya Balay</t>
  </si>
  <si>
    <t>M023</t>
  </si>
  <si>
    <t>Eva Dass</t>
  </si>
  <si>
    <t>M024</t>
  </si>
  <si>
    <t>Pihu Wali</t>
  </si>
  <si>
    <t>M025</t>
  </si>
  <si>
    <t>Tiya Rege</t>
  </si>
  <si>
    <t>Adira Brar</t>
  </si>
  <si>
    <t>M026</t>
  </si>
  <si>
    <t>Aarav Sen</t>
  </si>
  <si>
    <t>M027</t>
  </si>
  <si>
    <t>Dishani Bera</t>
  </si>
  <si>
    <t>M028</t>
  </si>
  <si>
    <t>Indrans Grover</t>
  </si>
  <si>
    <t>M029</t>
  </si>
  <si>
    <t>Kismat Edwin</t>
  </si>
  <si>
    <t>M030</t>
  </si>
  <si>
    <t>Taran Vyas</t>
  </si>
  <si>
    <t>Nakul Balakrishnan</t>
  </si>
  <si>
    <t>M031</t>
  </si>
  <si>
    <t>Jiya Baral</t>
  </si>
  <si>
    <t>Darshit Sidhu</t>
  </si>
  <si>
    <t>M032</t>
  </si>
  <si>
    <t>Gokul Sahni</t>
  </si>
  <si>
    <t>M033</t>
  </si>
  <si>
    <t>Prerak Lalla</t>
  </si>
  <si>
    <t>M034</t>
  </si>
  <si>
    <t>Hrishita Shroff</t>
  </si>
  <si>
    <t>Riya Dugal</t>
  </si>
  <si>
    <t>M035</t>
  </si>
  <si>
    <t>Oorja Sachar</t>
  </si>
  <si>
    <t>Membership_Duration_Months</t>
  </si>
  <si>
    <t>Referred</t>
  </si>
  <si>
    <t>Row Labels</t>
  </si>
  <si>
    <t>Grand Total</t>
  </si>
  <si>
    <t>Column Labels</t>
  </si>
  <si>
    <t>No</t>
  </si>
  <si>
    <t>Yes</t>
  </si>
  <si>
    <t>Average of Monthly_Fee</t>
  </si>
  <si>
    <t>Total_Revenue</t>
  </si>
  <si>
    <t>Sum of Total_Revenue</t>
  </si>
  <si>
    <t>Membership Type</t>
  </si>
  <si>
    <t>To Calculate Revenue of Each Type</t>
  </si>
  <si>
    <t>City Wise Breakdown</t>
  </si>
  <si>
    <t>Cities</t>
  </si>
  <si>
    <t>Count of Full_Name</t>
  </si>
  <si>
    <t>Average of Total_Revenue2</t>
  </si>
  <si>
    <t>Average of AveRevenuePerMember</t>
  </si>
  <si>
    <t>Count of Gender</t>
  </si>
  <si>
    <t>Age_group</t>
  </si>
  <si>
    <t>Adults</t>
  </si>
  <si>
    <t>Youth</t>
  </si>
  <si>
    <t>Count of Age_group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</si>
</sst>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top" wrapText="1"/>
    </xf>
    <xf numFmtId="0" fontId="0" fillId="0" borderId="1" xfId="0" applyBorder="1" applyAlignment="1">
      <alignment wrapText="1"/>
    </xf>
    <xf numFmtId="0" fontId="0" fillId="0" borderId="1" xfId="0" applyBorder="1" applyAlignment="1">
      <alignment horizontal="right" wrapText="1"/>
    </xf>
    <xf numFmtId="14" fontId="0" fillId="0" borderId="1" xfId="0" applyNumberFormat="1" applyBorder="1" applyAlignment="1">
      <alignment horizontal="right" wrapText="1"/>
    </xf>
    <xf numFmtId="0" fontId="0" fillId="0" borderId="1" xfId="0" applyBorder="1" applyAlignment="1">
      <alignment vertical="center"/>
    </xf>
    <xf numFmtId="0" fontId="0" fillId="0" borderId="1" xfId="0" applyBorder="1"/>
    <xf numFmtId="0" fontId="0" fillId="0" borderId="0" xfId="0" pivotButton="1"/>
    <xf numFmtId="0" fontId="0" fillId="0" borderId="0" xfId="0" applyAlignment="1">
      <alignment horizontal="left"/>
    </xf>
    <xf numFmtId="1" fontId="0" fillId="0" borderId="1" xfId="0" applyNumberFormat="1" applyBorder="1" applyAlignment="1">
      <alignment horizontal="right" wrapText="1"/>
    </xf>
    <xf numFmtId="1" fontId="0" fillId="0" borderId="1" xfId="0" applyNumberFormat="1" applyBorder="1"/>
    <xf numFmtId="2" fontId="0" fillId="0" borderId="0" xfId="0" applyNumberFormat="1"/>
    <xf numFmtId="0" fontId="0" fillId="0" borderId="0" xfId="0" applyAlignment="1">
      <alignment horizontal="left" indent="1"/>
    </xf>
    <xf numFmtId="0" fontId="1" fillId="0" borderId="1" xfId="0" applyFont="1" applyBorder="1"/>
    <xf numFmtId="0" fontId="0" fillId="0" borderId="0" xfId="0" applyAlignment="1">
      <alignment horizontal="left" indent="2"/>
    </xf>
    <xf numFmtId="0" fontId="0" fillId="0" borderId="0" xfId="0" applyAlignment="1">
      <alignment horizontal="center"/>
    </xf>
    <xf numFmtId="0" fontId="0" fillId="0" borderId="0" xfId="0" applyNumberFormat="1"/>
    <xf numFmtId="0" fontId="1" fillId="0" borderId="1" xfId="0" applyFont="1" applyFill="1" applyBorder="1" applyAlignment="1">
      <alignment horizontal="center" vertical="center"/>
    </xf>
    <xf numFmtId="0" fontId="0" fillId="0" borderId="1" xfId="0" pivotButton="1" applyBorder="1"/>
    <xf numFmtId="0" fontId="0" fillId="0" borderId="1" xfId="0" applyBorder="1" applyAlignment="1">
      <alignment horizontal="left"/>
    </xf>
    <xf numFmtId="0" fontId="0" fillId="0" borderId="1" xfId="0" applyNumberFormat="1" applyBorder="1"/>
  </cellXfs>
  <cellStyles count="1">
    <cellStyle name="Normal" xfId="0" builtinId="0"/>
  </cellStyles>
  <dxfs count="1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4.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[Excel_assignmnment_1.xlsx]Pivots for Dash!PivotTable4</c:name>
    <c:fmtId val="5"/>
  </c:pivotSource>
  <c:chart>
    <c:title>
      <c:tx>
        <c:rich>
          <a:bodyPr rot="0" spcFirstLastPara="1" vertOverflow="ellipsis" vert="horz" wrap="square" anchor="ctr" anchorCtr="1"/>
          <a:lstStyle/>
          <a:p>
            <a:pPr>
              <a:defRPr sz="1800" b="1" i="0" u="none" strike="noStrike" kern="1200" baseline="0">
                <a:solidFill>
                  <a:schemeClr val="accent6">
                    <a:lumMod val="75000"/>
                  </a:schemeClr>
                </a:solidFill>
                <a:latin typeface="+mn-lt"/>
                <a:ea typeface="+mn-ea"/>
                <a:cs typeface="+mn-cs"/>
              </a:defRPr>
            </a:pPr>
            <a:r>
              <a:rPr lang="en-IN" sz="1800" b="1" i="0" u="none" strike="noStrike" baseline="0">
                <a:solidFill>
                  <a:schemeClr val="accent6">
                    <a:lumMod val="75000"/>
                  </a:schemeClr>
                </a:solidFill>
                <a:effectLst/>
              </a:rPr>
              <a:t>Referral Impact on Revenue</a:t>
            </a:r>
          </a:p>
        </c:rich>
      </c:tx>
      <c:layout>
        <c:manualLayout>
          <c:xMode val="edge"/>
          <c:yMode val="edge"/>
          <c:x val="0.1328936702363834"/>
          <c:y val="4.2895442359249331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accent6">
                  <a:lumMod val="7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solidFill>
            <a:schemeClr val="accent6"/>
          </a:solidFill>
          <a:ln>
            <a:noFill/>
          </a:ln>
          <a:effectLst>
            <a:outerShdw blurRad="254000" sx="102000" sy="102000" algn="ctr" rotWithShape="0">
              <a:prstClr val="black">
                <a:alpha val="20000"/>
              </a:prstClr>
            </a:outerShdw>
          </a:effectLst>
        </c:spPr>
        <c:marker>
          <c:spPr>
            <a:solidFill>
              <a:schemeClr val="accent6">
                <a:alpha val="85000"/>
              </a:schemeClr>
            </a:solidFill>
            <a:ln>
              <a:noFill/>
            </a:ln>
            <a:effectLst/>
          </c:spPr>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pivotFmt>
      <c:pivotFmt>
        <c:idx val="15"/>
        <c:spPr>
          <a:solidFill>
            <a:schemeClr val="accent6"/>
          </a:solidFill>
          <a:ln>
            <a:noFill/>
          </a:ln>
          <a:effectLst>
            <a:outerShdw blurRad="254000" sx="102000" sy="102000" algn="ctr" rotWithShape="0">
              <a:prstClr val="black">
                <a:alpha val="20000"/>
              </a:prstClr>
            </a:outerShdw>
          </a:effectLst>
        </c:spPr>
        <c:marker>
          <c:spPr>
            <a:solidFill>
              <a:schemeClr val="accent6">
                <a:alpha val="85000"/>
              </a:schemeClr>
            </a:solidFill>
            <a:ln>
              <a:noFill/>
            </a:ln>
            <a:effectLst/>
          </c:spPr>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6"/>
      </c:pivotFmt>
      <c:pivotFmt>
        <c:idx val="17"/>
      </c:pivotFmt>
      <c:pivotFmt>
        <c:idx val="1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6">
              <a:shade val="76000"/>
            </a:schemeClr>
          </a:solidFill>
          <a:ln>
            <a:noFill/>
          </a:ln>
          <a:effectLst>
            <a:outerShdw blurRad="254000" sx="102000" sy="102000" algn="ctr" rotWithShape="0">
              <a:prstClr val="black">
                <a:alpha val="20000"/>
              </a:prstClr>
            </a:outerShdw>
          </a:effectLst>
        </c:spPr>
      </c:pivotFmt>
      <c:pivotFmt>
        <c:idx val="20"/>
        <c:spPr>
          <a:solidFill>
            <a:schemeClr val="accent6">
              <a:tint val="770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5.9548058423199025E-2"/>
          <c:y val="0.21049193247626888"/>
          <c:w val="0.79766654099442857"/>
          <c:h val="0.7771367855157516"/>
        </c:manualLayout>
      </c:layout>
      <c:doughnutChart>
        <c:varyColors val="1"/>
        <c:ser>
          <c:idx val="0"/>
          <c:order val="0"/>
          <c:tx>
            <c:strRef>
              <c:f>'Pivots for Dash'!$B$21</c:f>
              <c:strCache>
                <c:ptCount val="1"/>
                <c:pt idx="0">
                  <c:v>Total</c:v>
                </c:pt>
              </c:strCache>
            </c:strRef>
          </c:tx>
          <c:dPt>
            <c:idx val="0"/>
            <c:bubble3D val="0"/>
            <c:spPr>
              <a:solidFill>
                <a:schemeClr val="accent6">
                  <a:shade val="7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68E-43DA-AB65-D3FEDE07C948}"/>
              </c:ext>
            </c:extLst>
          </c:dPt>
          <c:dPt>
            <c:idx val="1"/>
            <c:bubble3D val="0"/>
            <c:spPr>
              <a:solidFill>
                <a:schemeClr val="accent6">
                  <a:tint val="7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68E-43DA-AB65-D3FEDE07C94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'Pivots for Dash'!$A$22:$A$24</c:f>
              <c:strCache>
                <c:ptCount val="2"/>
                <c:pt idx="0">
                  <c:v>No</c:v>
                </c:pt>
                <c:pt idx="1">
                  <c:v>Yes</c:v>
                </c:pt>
              </c:strCache>
            </c:strRef>
          </c:cat>
          <c:val>
            <c:numRef>
              <c:f>'Pivots for Dash'!$B$22:$B$24</c:f>
              <c:numCache>
                <c:formatCode>0.00</c:formatCode>
                <c:ptCount val="2"/>
                <c:pt idx="0">
                  <c:v>8405</c:v>
                </c:pt>
                <c:pt idx="1">
                  <c:v>6953.333333333333</c:v>
                </c:pt>
              </c:numCache>
            </c:numRef>
          </c:val>
          <c:extLst>
            <c:ext xmlns:c16="http://schemas.microsoft.com/office/drawing/2014/chart" uri="{C3380CC4-5D6E-409C-BE32-E72D297353CC}">
              <c16:uniqueId val="{00000004-768E-43DA-AB65-D3FEDE07C948}"/>
            </c:ext>
          </c:extLst>
        </c:ser>
        <c:dLbls>
          <c:showLegendKey val="0"/>
          <c:showVal val="0"/>
          <c:showCatName val="0"/>
          <c:showSerName val="0"/>
          <c:showPercent val="1"/>
          <c:showBubbleSize val="0"/>
          <c:showLeaderLines val="0"/>
        </c:dLbls>
        <c:firstSliceAng val="0"/>
        <c:holeSize val="50"/>
      </c:doughnutChart>
      <c:spPr>
        <a:noFill/>
        <a:ln>
          <a:noFill/>
        </a:ln>
        <a:effectLst/>
      </c:spPr>
    </c:plotArea>
    <c:legend>
      <c:legendPos val="r"/>
      <c:layout>
        <c:manualLayout>
          <c:xMode val="edge"/>
          <c:yMode val="edge"/>
          <c:x val="0.86052201647606374"/>
          <c:y val="0.45571904048187012"/>
          <c:w val="0.11863863742403691"/>
          <c:h val="0.2207336415387754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Lucida Sans Unicode" panose="020B0602030504020204" pitchFamily="34" charset="0"/>
              <a:ea typeface="+mn-ea"/>
              <a:cs typeface="Lucida Sans Unicode" panose="020B0602030504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[Excel_assignmnment_1.xlsx]Pivots for Dash!PivotTable5</c:name>
    <c:fmtId val="3"/>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US" sz="1800" b="1">
                <a:solidFill>
                  <a:schemeClr val="accent6">
                    <a:lumMod val="75000"/>
                  </a:schemeClr>
                </a:solidFill>
              </a:rPr>
              <a:t>City</a:t>
            </a:r>
            <a:r>
              <a:rPr lang="en-US" sz="1800" b="1" baseline="0">
                <a:solidFill>
                  <a:schemeClr val="accent6">
                    <a:lumMod val="75000"/>
                  </a:schemeClr>
                </a:solidFill>
              </a:rPr>
              <a:t> Revenue</a:t>
            </a:r>
            <a:endParaRPr lang="en-US" sz="18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alpha val="70000"/>
            </a:schemeClr>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alpha val="70000"/>
            </a:schemeClr>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6">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385695344782927E-3"/>
          <c:y val="0.13429951690821257"/>
          <c:w val="0.98631034522746497"/>
          <c:h val="0.77552954833946885"/>
        </c:manualLayout>
      </c:layout>
      <c:barChart>
        <c:barDir val="col"/>
        <c:grouping val="clustered"/>
        <c:varyColors val="0"/>
        <c:ser>
          <c:idx val="0"/>
          <c:order val="0"/>
          <c:tx>
            <c:strRef>
              <c:f>'Pivots for Dash'!$B$87</c:f>
              <c:strCache>
                <c:ptCount val="1"/>
                <c:pt idx="0">
                  <c:v>Sum of Total_Revenue</c:v>
                </c:pt>
              </c:strCache>
            </c:strRef>
          </c:tx>
          <c:spPr>
            <a:solidFill>
              <a:schemeClr val="accent6">
                <a:shade val="76000"/>
                <a:alpha val="70000"/>
              </a:schemeClr>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 for Dash'!$A$88:$A$93</c:f>
              <c:strCache>
                <c:ptCount val="6"/>
                <c:pt idx="0">
                  <c:v>Bengaluru</c:v>
                </c:pt>
                <c:pt idx="1">
                  <c:v>Delhi</c:v>
                </c:pt>
                <c:pt idx="2">
                  <c:v>Hyderabad</c:v>
                </c:pt>
                <c:pt idx="3">
                  <c:v>Kolkata</c:v>
                </c:pt>
                <c:pt idx="4">
                  <c:v>Mumbai</c:v>
                </c:pt>
                <c:pt idx="5">
                  <c:v>Pune</c:v>
                </c:pt>
              </c:strCache>
            </c:strRef>
          </c:cat>
          <c:val>
            <c:numRef>
              <c:f>'Pivots for Dash'!$B$88:$B$93</c:f>
              <c:numCache>
                <c:formatCode>0.00</c:formatCode>
                <c:ptCount val="6"/>
                <c:pt idx="0">
                  <c:v>55300</c:v>
                </c:pt>
                <c:pt idx="1">
                  <c:v>52400</c:v>
                </c:pt>
                <c:pt idx="2">
                  <c:v>30100</c:v>
                </c:pt>
                <c:pt idx="3">
                  <c:v>32900</c:v>
                </c:pt>
                <c:pt idx="4">
                  <c:v>77700</c:v>
                </c:pt>
                <c:pt idx="5">
                  <c:v>24000</c:v>
                </c:pt>
              </c:numCache>
            </c:numRef>
          </c:val>
          <c:extLst>
            <c:ext xmlns:c16="http://schemas.microsoft.com/office/drawing/2014/chart" uri="{C3380CC4-5D6E-409C-BE32-E72D297353CC}">
              <c16:uniqueId val="{00000000-D2E8-40D5-B84A-A276E88C6DA1}"/>
            </c:ext>
          </c:extLst>
        </c:ser>
        <c:ser>
          <c:idx val="1"/>
          <c:order val="1"/>
          <c:tx>
            <c:strRef>
              <c:f>'Pivots for Dash'!$C$87</c:f>
              <c:strCache>
                <c:ptCount val="1"/>
                <c:pt idx="0">
                  <c:v>Average of Total_Revenue2</c:v>
                </c:pt>
              </c:strCache>
            </c:strRef>
          </c:tx>
          <c:spPr>
            <a:solidFill>
              <a:schemeClr val="accent6">
                <a:tint val="77000"/>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'Pivots for Dash'!$A$88:$A$93</c:f>
              <c:strCache>
                <c:ptCount val="6"/>
                <c:pt idx="0">
                  <c:v>Bengaluru</c:v>
                </c:pt>
                <c:pt idx="1">
                  <c:v>Delhi</c:v>
                </c:pt>
                <c:pt idx="2">
                  <c:v>Hyderabad</c:v>
                </c:pt>
                <c:pt idx="3">
                  <c:v>Kolkata</c:v>
                </c:pt>
                <c:pt idx="4">
                  <c:v>Mumbai</c:v>
                </c:pt>
                <c:pt idx="5">
                  <c:v>Pune</c:v>
                </c:pt>
              </c:strCache>
            </c:strRef>
          </c:cat>
          <c:val>
            <c:numRef>
              <c:f>'Pivots for Dash'!$C$88:$C$93</c:f>
              <c:numCache>
                <c:formatCode>0.00</c:formatCode>
                <c:ptCount val="6"/>
                <c:pt idx="0">
                  <c:v>11060</c:v>
                </c:pt>
                <c:pt idx="1">
                  <c:v>13100</c:v>
                </c:pt>
                <c:pt idx="2">
                  <c:v>6020</c:v>
                </c:pt>
                <c:pt idx="3">
                  <c:v>5483.333333333333</c:v>
                </c:pt>
                <c:pt idx="4">
                  <c:v>7770</c:v>
                </c:pt>
                <c:pt idx="5">
                  <c:v>4800</c:v>
                </c:pt>
              </c:numCache>
            </c:numRef>
          </c:val>
          <c:extLst>
            <c:ext xmlns:c16="http://schemas.microsoft.com/office/drawing/2014/chart" uri="{C3380CC4-5D6E-409C-BE32-E72D297353CC}">
              <c16:uniqueId val="{00000006-7C35-4412-9B10-C9D4A5E3CCEA}"/>
            </c:ext>
          </c:extLst>
        </c:ser>
        <c:dLbls>
          <c:showLegendKey val="0"/>
          <c:showVal val="1"/>
          <c:showCatName val="0"/>
          <c:showSerName val="0"/>
          <c:showPercent val="0"/>
          <c:showBubbleSize val="0"/>
        </c:dLbls>
        <c:gapWidth val="80"/>
        <c:overlap val="25"/>
        <c:axId val="2047762928"/>
        <c:axId val="2047751888"/>
      </c:barChart>
      <c:catAx>
        <c:axId val="2047762928"/>
        <c:scaling>
          <c:orientation val="minMax"/>
        </c:scaling>
        <c:delete val="0"/>
        <c:axPos val="b"/>
        <c:numFmt formatCode="0" sourceLinked="0"/>
        <c:majorTickMark val="out"/>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cap="none" spc="20" normalizeH="0" baseline="0">
                <a:solidFill>
                  <a:schemeClr val="tx1">
                    <a:lumMod val="65000"/>
                    <a:lumOff val="35000"/>
                  </a:schemeClr>
                </a:solidFill>
                <a:latin typeface="+mn-lt"/>
                <a:ea typeface="+mn-ea"/>
                <a:cs typeface="+mn-cs"/>
              </a:defRPr>
            </a:pPr>
            <a:endParaRPr lang="en-US"/>
          </a:p>
        </c:txPr>
        <c:crossAx val="2047751888"/>
        <c:crosses val="autoZero"/>
        <c:auto val="1"/>
        <c:lblAlgn val="ctr"/>
        <c:lblOffset val="100"/>
        <c:noMultiLvlLbl val="0"/>
      </c:catAx>
      <c:valAx>
        <c:axId val="2047751888"/>
        <c:scaling>
          <c:orientation val="minMax"/>
        </c:scaling>
        <c:delete val="1"/>
        <c:axPos val="l"/>
        <c:majorGridlines>
          <c:spPr>
            <a:ln w="9525" cap="flat" cmpd="sng" algn="ctr">
              <a:solidFill>
                <a:schemeClr val="tx1">
                  <a:lumMod val="5000"/>
                  <a:lumOff val="95000"/>
                </a:schemeClr>
              </a:solidFill>
              <a:round/>
            </a:ln>
            <a:effectLst/>
          </c:spPr>
        </c:majorGridlines>
        <c:numFmt formatCode="0.00" sourceLinked="1"/>
        <c:majorTickMark val="out"/>
        <c:minorTickMark val="none"/>
        <c:tickLblPos val="nextTo"/>
        <c:crossAx val="204776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[Excel_assignmnment_1.xlsx]Pivots for Dash!PivotTable3</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6">
                    <a:lumMod val="75000"/>
                  </a:schemeClr>
                </a:solidFill>
              </a:rPr>
              <a:t>Member Type Revenue Shared</a:t>
            </a:r>
          </a:p>
        </c:rich>
      </c:tx>
      <c:layout>
        <c:manualLayout>
          <c:xMode val="edge"/>
          <c:yMode val="edge"/>
          <c:x val="6.8595600676818955E-2"/>
          <c:y val="3.436426116838488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pivotFmt>
      <c:pivotFmt>
        <c:idx val="18"/>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6">
              <a:shade val="58000"/>
            </a:schemeClr>
          </a:solidFill>
          <a:ln>
            <a:noFill/>
          </a:ln>
          <a:effectLst>
            <a:outerShdw blurRad="254000" sx="102000" sy="102000" algn="ctr" rotWithShape="0">
              <a:prstClr val="black">
                <a:alpha val="20000"/>
              </a:prstClr>
            </a:outerShdw>
          </a:effectLst>
        </c:spPr>
      </c:pivotFmt>
      <c:pivotFmt>
        <c:idx val="20"/>
        <c:spPr>
          <a:solidFill>
            <a:schemeClr val="accent6">
              <a:shade val="86000"/>
            </a:schemeClr>
          </a:solidFill>
          <a:ln>
            <a:noFill/>
          </a:ln>
          <a:effectLst>
            <a:outerShdw blurRad="254000" sx="102000" sy="102000" algn="ctr" rotWithShape="0">
              <a:prstClr val="black">
                <a:alpha val="20000"/>
              </a:prstClr>
            </a:outerShdw>
          </a:effectLst>
        </c:spPr>
      </c:pivotFmt>
      <c:pivotFmt>
        <c:idx val="21"/>
        <c:spPr>
          <a:solidFill>
            <a:schemeClr val="accent6">
              <a:tint val="86000"/>
            </a:schemeClr>
          </a:solidFill>
          <a:ln>
            <a:noFill/>
          </a:ln>
          <a:effectLst>
            <a:outerShdw blurRad="254000" sx="102000" sy="102000" algn="ctr" rotWithShape="0">
              <a:prstClr val="black">
                <a:alpha val="20000"/>
              </a:prstClr>
            </a:outerShdw>
          </a:effectLst>
        </c:spPr>
      </c:pivotFmt>
      <c:pivotFmt>
        <c:idx val="22"/>
        <c:spPr>
          <a:solidFill>
            <a:schemeClr val="accent6">
              <a:tint val="58000"/>
            </a:schemeClr>
          </a:solidFill>
          <a:ln>
            <a:noFill/>
          </a:ln>
          <a:effectLst>
            <a:outerShdw blurRad="254000" sx="102000" sy="102000" algn="ctr" rotWithShape="0">
              <a:prstClr val="black">
                <a:alpha val="20000"/>
              </a:prstClr>
            </a:outerShdw>
          </a:effectLst>
        </c:spPr>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pivotFmt>
      <c:pivotFmt>
        <c:idx val="25"/>
      </c:pivotFmt>
      <c:pivotFmt>
        <c:idx val="26"/>
      </c:pivotFmt>
      <c:pivotFmt>
        <c:idx val="27"/>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pivotFmt>
      <c:pivotFmt>
        <c:idx val="30"/>
      </c:pivotFmt>
      <c:pivotFmt>
        <c:idx val="31"/>
      </c:pivotFmt>
      <c:pivotFmt>
        <c:idx val="32"/>
      </c:pivotFmt>
    </c:pivotFmts>
    <c:plotArea>
      <c:layout>
        <c:manualLayout>
          <c:layoutTarget val="inner"/>
          <c:xMode val="edge"/>
          <c:yMode val="edge"/>
          <c:x val="3.0882928973979776E-2"/>
          <c:y val="0.1825965311037151"/>
          <c:w val="0.75356595653969649"/>
          <c:h val="0.76521903834185678"/>
        </c:manualLayout>
      </c:layout>
      <c:doughnutChart>
        <c:varyColors val="1"/>
        <c:ser>
          <c:idx val="0"/>
          <c:order val="0"/>
          <c:tx>
            <c:strRef>
              <c:f>'Pivots for Dash'!$B$14</c:f>
              <c:strCache>
                <c:ptCount val="1"/>
                <c:pt idx="0">
                  <c:v>Total</c:v>
                </c:pt>
              </c:strCache>
            </c:strRef>
          </c:tx>
          <c:dPt>
            <c:idx val="0"/>
            <c:bubble3D val="0"/>
            <c:spPr>
              <a:solidFill>
                <a:schemeClr val="accent6">
                  <a:shade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5A3-48D6-9F93-ACAB9B6197BC}"/>
              </c:ext>
            </c:extLst>
          </c:dPt>
          <c:dPt>
            <c:idx val="1"/>
            <c:bubble3D val="0"/>
            <c:spPr>
              <a:solidFill>
                <a:schemeClr val="accent6">
                  <a:shade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5A3-48D6-9F93-ACAB9B6197BC}"/>
              </c:ext>
            </c:extLst>
          </c:dPt>
          <c:dPt>
            <c:idx val="2"/>
            <c:bubble3D val="0"/>
            <c:spPr>
              <a:solidFill>
                <a:schemeClr val="accent6">
                  <a:tint val="86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5A3-48D6-9F93-ACAB9B6197BC}"/>
              </c:ext>
            </c:extLst>
          </c:dPt>
          <c:dPt>
            <c:idx val="3"/>
            <c:bubble3D val="0"/>
            <c:spPr>
              <a:solidFill>
                <a:schemeClr val="accent6">
                  <a:tint val="58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65A3-48D6-9F93-ACAB9B6197BC}"/>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 for Dash'!$A$15:$A$19</c:f>
              <c:strCache>
                <c:ptCount val="4"/>
                <c:pt idx="0">
                  <c:v>Basic</c:v>
                </c:pt>
                <c:pt idx="1">
                  <c:v>Family</c:v>
                </c:pt>
                <c:pt idx="2">
                  <c:v>Premium</c:v>
                </c:pt>
                <c:pt idx="3">
                  <c:v>Standard</c:v>
                </c:pt>
              </c:strCache>
            </c:strRef>
          </c:cat>
          <c:val>
            <c:numRef>
              <c:f>'Pivots for Dash'!$B$15:$B$19</c:f>
              <c:numCache>
                <c:formatCode>0.00</c:formatCode>
                <c:ptCount val="4"/>
                <c:pt idx="0">
                  <c:v>37600</c:v>
                </c:pt>
                <c:pt idx="1">
                  <c:v>80000</c:v>
                </c:pt>
                <c:pt idx="2">
                  <c:v>68400</c:v>
                </c:pt>
                <c:pt idx="3">
                  <c:v>86400</c:v>
                </c:pt>
              </c:numCache>
            </c:numRef>
          </c:val>
          <c:extLst>
            <c:ext xmlns:c16="http://schemas.microsoft.com/office/drawing/2014/chart" uri="{C3380CC4-5D6E-409C-BE32-E72D297353CC}">
              <c16:uniqueId val="{00000008-65A3-48D6-9F93-ACAB9B6197BC}"/>
            </c:ext>
          </c:extLst>
        </c:ser>
        <c:dLbls>
          <c:showLegendKey val="0"/>
          <c:showVal val="0"/>
          <c:showCatName val="0"/>
          <c:showSerName val="0"/>
          <c:showPercent val="1"/>
          <c:showBubbleSize val="0"/>
          <c:showLeaderLines val="1"/>
        </c:dLbls>
        <c:firstSliceAng val="0"/>
        <c:holeSize val="50"/>
      </c:doughnutChart>
      <c:spPr>
        <a:solidFill>
          <a:schemeClr val="accent6">
            <a:lumMod val="20000"/>
            <a:lumOff val="80000"/>
          </a:schemeClr>
        </a:solidFill>
        <a:ln>
          <a:noFill/>
        </a:ln>
        <a:effectLst/>
      </c:spPr>
    </c:plotArea>
    <c:legend>
      <c:legendPos val="r"/>
      <c:layout>
        <c:manualLayout>
          <c:xMode val="edge"/>
          <c:yMode val="edge"/>
          <c:x val="0.78906404465939217"/>
          <c:y val="0.43724138864085288"/>
          <c:w val="0.2109359553406078"/>
          <c:h val="0.25601536921286899"/>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Lucida Sans Unicode" panose="020B0602030504020204" pitchFamily="34" charset="0"/>
              <a:ea typeface="+mn-ea"/>
              <a:cs typeface="Lucida Sans Unicode" panose="020B0602030504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[Excel_assignmnment_1.xlsx]Pivots for Dash!PivotTable2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solidFill>
                  <a:schemeClr val="accent6">
                    <a:lumMod val="75000"/>
                  </a:schemeClr>
                </a:solidFill>
              </a:rPr>
              <a:t>City</a:t>
            </a:r>
            <a:r>
              <a:rPr lang="en-US" baseline="0">
                <a:solidFill>
                  <a:schemeClr val="accent6">
                    <a:lumMod val="75000"/>
                  </a:schemeClr>
                </a:solidFill>
              </a:rPr>
              <a:t> Revenue Share</a:t>
            </a:r>
            <a:endParaRPr lang="en-US">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6"/>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hade val="50000"/>
            </a:schemeClr>
          </a:solidFill>
          <a:ln>
            <a:noFill/>
          </a:ln>
          <a:effectLst>
            <a:outerShdw blurRad="254000" sx="102000" sy="102000" algn="ctr" rotWithShape="0">
              <a:prstClr val="black">
                <a:alpha val="20000"/>
              </a:prstClr>
            </a:outerShdw>
          </a:effectLst>
        </c:spPr>
      </c:pivotFmt>
      <c:pivotFmt>
        <c:idx val="10"/>
        <c:spPr>
          <a:solidFill>
            <a:schemeClr val="accent6">
              <a:shade val="70000"/>
            </a:schemeClr>
          </a:solidFill>
          <a:ln>
            <a:noFill/>
          </a:ln>
          <a:effectLst>
            <a:outerShdw blurRad="254000" sx="102000" sy="102000" algn="ctr" rotWithShape="0">
              <a:prstClr val="black">
                <a:alpha val="20000"/>
              </a:prstClr>
            </a:outerShdw>
          </a:effectLst>
        </c:spPr>
      </c:pivotFmt>
      <c:pivotFmt>
        <c:idx val="11"/>
        <c:spPr>
          <a:solidFill>
            <a:schemeClr val="accent6">
              <a:shade val="90000"/>
            </a:schemeClr>
          </a:solidFill>
          <a:ln>
            <a:noFill/>
          </a:ln>
          <a:effectLst>
            <a:outerShdw blurRad="254000" sx="102000" sy="102000" algn="ctr" rotWithShape="0">
              <a:prstClr val="black">
                <a:alpha val="20000"/>
              </a:prstClr>
            </a:outerShdw>
          </a:effectLst>
        </c:spPr>
      </c:pivotFmt>
      <c:pivotFmt>
        <c:idx val="12"/>
        <c:spPr>
          <a:solidFill>
            <a:schemeClr val="accent6">
              <a:tint val="90000"/>
            </a:schemeClr>
          </a:solidFill>
          <a:ln>
            <a:noFill/>
          </a:ln>
          <a:effectLst>
            <a:outerShdw blurRad="254000" sx="102000" sy="102000" algn="ctr" rotWithShape="0">
              <a:prstClr val="black">
                <a:alpha val="20000"/>
              </a:prstClr>
            </a:outerShdw>
          </a:effectLst>
        </c:spPr>
      </c:pivotFmt>
      <c:pivotFmt>
        <c:idx val="13"/>
        <c:spPr>
          <a:solidFill>
            <a:schemeClr val="accent6">
              <a:tint val="70000"/>
            </a:schemeClr>
          </a:solidFill>
          <a:ln>
            <a:noFill/>
          </a:ln>
          <a:effectLst>
            <a:outerShdw blurRad="254000" sx="102000" sy="102000" algn="ctr" rotWithShape="0">
              <a:prstClr val="black">
                <a:alpha val="20000"/>
              </a:prstClr>
            </a:outerShdw>
          </a:effectLst>
        </c:spPr>
      </c:pivotFmt>
      <c:pivotFmt>
        <c:idx val="14"/>
        <c:spPr>
          <a:solidFill>
            <a:schemeClr val="accent6">
              <a:tint val="50000"/>
            </a:schemeClr>
          </a:solidFill>
          <a:ln>
            <a:noFill/>
          </a:ln>
          <a:effectLst>
            <a:outerShdw blurRad="254000" sx="102000" sy="102000" algn="ctr" rotWithShape="0">
              <a:prstClr val="black">
                <a:alpha val="20000"/>
              </a:prstClr>
            </a:outerShdw>
          </a:effectLst>
        </c:spPr>
      </c:pivotFmt>
      <c:pivotFmt>
        <c:idx val="15"/>
        <c:spPr>
          <a:solidFill>
            <a:schemeClr val="accent6"/>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29"/>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0"/>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3"/>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4"/>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5"/>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
        <c:idx val="36"/>
        <c:spPr>
          <a:solidFill>
            <a:schemeClr val="accent6"/>
          </a:solidFill>
          <a:ln>
            <a:noFill/>
          </a:ln>
          <a:effectLst>
            <a:outerShdw blurRad="254000" sx="102000" sy="102000" algn="ctr" rotWithShape="0">
              <a:prstClr val="black">
                <a:alpha val="20000"/>
              </a:prstClr>
            </a:outerShdw>
          </a:effectLst>
        </c:spPr>
        <c:marker>
          <c:symbol val="none"/>
        </c:marker>
        <c:dLbl>
          <c:idx val="0"/>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2.1066337296073288E-2"/>
          <c:y val="0.19782215708840811"/>
          <c:w val="0.70302017394884453"/>
          <c:h val="0.7540279468221045"/>
        </c:manualLayout>
      </c:layout>
      <c:doughnutChart>
        <c:varyColors val="1"/>
        <c:ser>
          <c:idx val="0"/>
          <c:order val="0"/>
          <c:tx>
            <c:strRef>
              <c:f>'Pivots for Dash'!$B$3</c:f>
              <c:strCache>
                <c:ptCount val="1"/>
                <c:pt idx="0">
                  <c:v>Total</c:v>
                </c:pt>
              </c:strCache>
            </c:strRef>
          </c:tx>
          <c:dPt>
            <c:idx val="0"/>
            <c:bubble3D val="0"/>
            <c:spPr>
              <a:solidFill>
                <a:schemeClr val="accent6">
                  <a:shade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E9F-49C8-B046-C5CBF126309B}"/>
              </c:ext>
            </c:extLst>
          </c:dPt>
          <c:dPt>
            <c:idx val="1"/>
            <c:bubble3D val="0"/>
            <c:spPr>
              <a:solidFill>
                <a:schemeClr val="accent6">
                  <a:shade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E9F-49C8-B046-C5CBF126309B}"/>
              </c:ext>
            </c:extLst>
          </c:dPt>
          <c:dPt>
            <c:idx val="2"/>
            <c:bubble3D val="0"/>
            <c:spPr>
              <a:solidFill>
                <a:schemeClr val="accent6">
                  <a:shade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E9F-49C8-B046-C5CBF126309B}"/>
              </c:ext>
            </c:extLst>
          </c:dPt>
          <c:dPt>
            <c:idx val="3"/>
            <c:bubble3D val="0"/>
            <c:spPr>
              <a:solidFill>
                <a:schemeClr val="accent6">
                  <a:tint val="9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E9F-49C8-B046-C5CBF126309B}"/>
              </c:ext>
            </c:extLst>
          </c:dPt>
          <c:dPt>
            <c:idx val="4"/>
            <c:bubble3D val="0"/>
            <c:spPr>
              <a:solidFill>
                <a:schemeClr val="accent6">
                  <a:tint val="7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E9F-49C8-B046-C5CBF126309B}"/>
              </c:ext>
            </c:extLst>
          </c:dPt>
          <c:dPt>
            <c:idx val="5"/>
            <c:bubble3D val="0"/>
            <c:spPr>
              <a:solidFill>
                <a:schemeClr val="accent6">
                  <a:tint val="5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E9F-49C8-B046-C5CBF126309B}"/>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'Pivots for Dash'!$A$4:$A$10</c:f>
              <c:strCache>
                <c:ptCount val="6"/>
                <c:pt idx="0">
                  <c:v>Bengaluru</c:v>
                </c:pt>
                <c:pt idx="1">
                  <c:v>Delhi</c:v>
                </c:pt>
                <c:pt idx="2">
                  <c:v>Hyderabad</c:v>
                </c:pt>
                <c:pt idx="3">
                  <c:v>Kolkata</c:v>
                </c:pt>
                <c:pt idx="4">
                  <c:v>Mumbai</c:v>
                </c:pt>
                <c:pt idx="5">
                  <c:v>Pune</c:v>
                </c:pt>
              </c:strCache>
            </c:strRef>
          </c:cat>
          <c:val>
            <c:numRef>
              <c:f>'Pivots for Dash'!$B$4:$B$10</c:f>
              <c:numCache>
                <c:formatCode>0.00</c:formatCode>
                <c:ptCount val="6"/>
                <c:pt idx="0">
                  <c:v>55300</c:v>
                </c:pt>
                <c:pt idx="1">
                  <c:v>52400</c:v>
                </c:pt>
                <c:pt idx="2">
                  <c:v>30100</c:v>
                </c:pt>
                <c:pt idx="3">
                  <c:v>32900</c:v>
                </c:pt>
                <c:pt idx="4">
                  <c:v>77700</c:v>
                </c:pt>
                <c:pt idx="5">
                  <c:v>24000</c:v>
                </c:pt>
              </c:numCache>
            </c:numRef>
          </c:val>
          <c:extLst>
            <c:ext xmlns:c16="http://schemas.microsoft.com/office/drawing/2014/chart" uri="{C3380CC4-5D6E-409C-BE32-E72D297353CC}">
              <c16:uniqueId val="{0000000C-9E9F-49C8-B046-C5CBF126309B}"/>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74263007565230821"/>
          <c:y val="0.37683885728794941"/>
          <c:w val="0.24296948175595698"/>
          <c:h val="0.4179835564718448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1000" b="0" i="0" u="none" strike="noStrike" kern="1200" baseline="0">
              <a:solidFill>
                <a:schemeClr val="dk1">
                  <a:lumMod val="75000"/>
                  <a:lumOff val="25000"/>
                </a:schemeClr>
              </a:solidFill>
              <a:latin typeface="Lucida Sans Unicode" panose="020B0602030504020204" pitchFamily="34" charset="0"/>
              <a:ea typeface="+mn-ea"/>
              <a:cs typeface="Lucida Sans Unicode" panose="020B0602030504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6">
        <a:lumMod val="20000"/>
        <a:lumOff val="8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9">
  <a:schemeClr val="accent6"/>
</cs:colorStyle>
</file>

<file path=xl/charts/colors2.xml><?xml version="1.0" encoding="utf-8"?>
<cs:colorStyle xmlns:cs="http://schemas.microsoft.com/office/drawing/2012/chartStyle" xmlns:a="http://schemas.openxmlformats.org/drawingml/2006/main" meth="withinLinear" id="19">
  <a:schemeClr val="accent6"/>
</cs:colorStyle>
</file>

<file path=xl/charts/colors3.xml><?xml version="1.0" encoding="utf-8"?>
<cs:colorStyle xmlns:cs="http://schemas.microsoft.com/office/drawing/2012/chartStyle" xmlns:a="http://schemas.openxmlformats.org/drawingml/2006/main" meth="withinLinear" id="19">
  <a:schemeClr val="accent6"/>
</cs:colorStyle>
</file>

<file path=xl/charts/colors4.xml><?xml version="1.0" encoding="utf-8"?>
<cs:colorStyle xmlns:cs="http://schemas.microsoft.com/office/drawing/2012/chartStyle" xmlns:a="http://schemas.openxmlformats.org/drawingml/2006/main" meth="withinLinear" id="19">
  <a:schemeClr val="accent6"/>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36195</xdr:rowOff>
    </xdr:from>
    <xdr:to>
      <xdr:col>26</xdr:col>
      <xdr:colOff>571500</xdr:colOff>
      <xdr:row>52</xdr:row>
      <xdr:rowOff>173355</xdr:rowOff>
    </xdr:to>
    <xdr:sp macro="" textlink="">
      <xdr:nvSpPr>
        <xdr:cNvPr id="10" name="TextBox 9">
          <a:extLst>
            <a:ext uri="{FF2B5EF4-FFF2-40B4-BE49-F238E27FC236}">
              <a16:creationId xmlns:a16="http://schemas.microsoft.com/office/drawing/2014/main" id="{7CF85CDE-D6F8-974F-3689-56E0A015A033}"/>
            </a:ext>
          </a:extLst>
        </xdr:cNvPr>
        <xdr:cNvSpPr txBox="1"/>
      </xdr:nvSpPr>
      <xdr:spPr>
        <a:xfrm>
          <a:off x="0" y="36195"/>
          <a:ext cx="16421100" cy="954786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14</xdr:col>
      <xdr:colOff>131445</xdr:colOff>
      <xdr:row>3</xdr:row>
      <xdr:rowOff>152400</xdr:rowOff>
    </xdr:from>
    <xdr:to>
      <xdr:col>19</xdr:col>
      <xdr:colOff>548640</xdr:colOff>
      <xdr:row>23</xdr:row>
      <xdr:rowOff>81915</xdr:rowOff>
    </xdr:to>
    <xdr:graphicFrame macro="">
      <xdr:nvGraphicFramePr>
        <xdr:cNvPr id="9" name="Chart 8">
          <a:extLst>
            <a:ext uri="{FF2B5EF4-FFF2-40B4-BE49-F238E27FC236}">
              <a16:creationId xmlns:a16="http://schemas.microsoft.com/office/drawing/2014/main" id="{65A33F57-D4C0-49D0-9B5B-AC2F60D61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361950</xdr:colOff>
      <xdr:row>4</xdr:row>
      <xdr:rowOff>72390</xdr:rowOff>
    </xdr:from>
    <xdr:to>
      <xdr:col>7</xdr:col>
      <xdr:colOff>533400</xdr:colOff>
      <xdr:row>24</xdr:row>
      <xdr:rowOff>20955</xdr:rowOff>
    </xdr:to>
    <xdr:graphicFrame macro="">
      <xdr:nvGraphicFramePr>
        <xdr:cNvPr id="8" name="Chart 7">
          <a:extLst>
            <a:ext uri="{FF2B5EF4-FFF2-40B4-BE49-F238E27FC236}">
              <a16:creationId xmlns:a16="http://schemas.microsoft.com/office/drawing/2014/main" id="{853FE1B9-2D29-47D8-A0F9-3549059DA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581026</xdr:colOff>
      <xdr:row>4</xdr:row>
      <xdr:rowOff>1905</xdr:rowOff>
    </xdr:from>
    <xdr:to>
      <xdr:col>26</xdr:col>
      <xdr:colOff>81916</xdr:colOff>
      <xdr:row>24</xdr:row>
      <xdr:rowOff>72390</xdr:rowOff>
    </xdr:to>
    <xdr:graphicFrame macro="">
      <xdr:nvGraphicFramePr>
        <xdr:cNvPr id="12" name="Chart 11">
          <a:extLst>
            <a:ext uri="{FF2B5EF4-FFF2-40B4-BE49-F238E27FC236}">
              <a16:creationId xmlns:a16="http://schemas.microsoft.com/office/drawing/2014/main" id="{7693DAE7-EE16-402A-A6A6-E90956C945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552450</xdr:colOff>
      <xdr:row>4</xdr:row>
      <xdr:rowOff>5715</xdr:rowOff>
    </xdr:from>
    <xdr:to>
      <xdr:col>14</xdr:col>
      <xdr:colOff>171450</xdr:colOff>
      <xdr:row>24</xdr:row>
      <xdr:rowOff>5715</xdr:rowOff>
    </xdr:to>
    <xdr:graphicFrame macro="">
      <xdr:nvGraphicFramePr>
        <xdr:cNvPr id="13" name="Chart 12">
          <a:extLst>
            <a:ext uri="{FF2B5EF4-FFF2-40B4-BE49-F238E27FC236}">
              <a16:creationId xmlns:a16="http://schemas.microsoft.com/office/drawing/2014/main" id="{C08D3530-CA9B-47C4-9DAC-E0D73410E4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5</xdr:row>
      <xdr:rowOff>47625</xdr:rowOff>
    </xdr:from>
    <xdr:to>
      <xdr:col>2</xdr:col>
      <xdr:colOff>363854</xdr:colOff>
      <xdr:row>10</xdr:row>
      <xdr:rowOff>38100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029513AE-C3F4-476F-A9AC-A6950AA17C3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954405"/>
              <a:ext cx="1579244" cy="8934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47625</xdr:rowOff>
    </xdr:from>
    <xdr:to>
      <xdr:col>2</xdr:col>
      <xdr:colOff>363854</xdr:colOff>
      <xdr:row>17</xdr:row>
      <xdr:rowOff>179071</xdr:rowOff>
    </xdr:to>
    <mc:AlternateContent xmlns:mc="http://schemas.openxmlformats.org/markup-compatibility/2006">
      <mc:Choice xmlns:a14="http://schemas.microsoft.com/office/drawing/2010/main" Requires="a14">
        <xdr:graphicFrame macro="">
          <xdr:nvGraphicFramePr>
            <xdr:cNvPr id="3" name="Membership">
              <a:extLst>
                <a:ext uri="{FF2B5EF4-FFF2-40B4-BE49-F238E27FC236}">
                  <a16:creationId xmlns:a16="http://schemas.microsoft.com/office/drawing/2014/main" id="{3BA659BE-8F95-4293-83EF-8FA7B902E50F}"/>
                </a:ext>
              </a:extLst>
            </xdr:cNvPr>
            <xdr:cNvGraphicFramePr/>
          </xdr:nvGraphicFramePr>
          <xdr:xfrm>
            <a:off x="0" y="0"/>
            <a:ext cx="0" cy="0"/>
          </xdr:xfrm>
          <a:graphic>
            <a:graphicData uri="http://schemas.microsoft.com/office/drawing/2010/slicer">
              <sle:slicer xmlns:sle="http://schemas.microsoft.com/office/drawing/2010/slicer" name="Membership"/>
            </a:graphicData>
          </a:graphic>
        </xdr:graphicFrame>
      </mc:Choice>
      <mc:Fallback>
        <xdr:sp macro="" textlink="">
          <xdr:nvSpPr>
            <xdr:cNvPr id="0" name=""/>
            <xdr:cNvSpPr>
              <a:spLocks noTextEdit="1"/>
            </xdr:cNvSpPr>
          </xdr:nvSpPr>
          <xdr:spPr>
            <a:xfrm>
              <a:off x="0" y="1859280"/>
              <a:ext cx="1579244" cy="139446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17</xdr:row>
      <xdr:rowOff>179070</xdr:rowOff>
    </xdr:from>
    <xdr:to>
      <xdr:col>2</xdr:col>
      <xdr:colOff>362834</xdr:colOff>
      <xdr:row>28</xdr:row>
      <xdr:rowOff>144780</xdr:rowOff>
    </xdr:to>
    <mc:AlternateContent xmlns:mc="http://schemas.openxmlformats.org/markup-compatibility/2006">
      <mc:Choice xmlns:a14="http://schemas.microsoft.com/office/drawing/2010/main" Requires="a14">
        <xdr:graphicFrame macro="">
          <xdr:nvGraphicFramePr>
            <xdr:cNvPr id="4" name="City">
              <a:extLst>
                <a:ext uri="{FF2B5EF4-FFF2-40B4-BE49-F238E27FC236}">
                  <a16:creationId xmlns:a16="http://schemas.microsoft.com/office/drawing/2014/main" id="{4011BE31-47D6-4DF2-9E71-92DB44B0515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 y="3253740"/>
              <a:ext cx="1578223" cy="19564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28</xdr:row>
      <xdr:rowOff>144780</xdr:rowOff>
    </xdr:from>
    <xdr:to>
      <xdr:col>2</xdr:col>
      <xdr:colOff>363854</xdr:colOff>
      <xdr:row>33</xdr:row>
      <xdr:rowOff>133350</xdr:rowOff>
    </xdr:to>
    <mc:AlternateContent xmlns:mc="http://schemas.openxmlformats.org/markup-compatibility/2006">
      <mc:Choice xmlns:a14="http://schemas.microsoft.com/office/drawing/2010/main" Requires="a14">
        <xdr:graphicFrame macro="">
          <xdr:nvGraphicFramePr>
            <xdr:cNvPr id="5" name="Referred">
              <a:extLst>
                <a:ext uri="{FF2B5EF4-FFF2-40B4-BE49-F238E27FC236}">
                  <a16:creationId xmlns:a16="http://schemas.microsoft.com/office/drawing/2014/main" id="{B4C2F29E-A589-4267-A64A-225EAE6052B5}"/>
                </a:ext>
              </a:extLst>
            </xdr:cNvPr>
            <xdr:cNvGraphicFramePr/>
          </xdr:nvGraphicFramePr>
          <xdr:xfrm>
            <a:off x="0" y="0"/>
            <a:ext cx="0" cy="0"/>
          </xdr:xfrm>
          <a:graphic>
            <a:graphicData uri="http://schemas.microsoft.com/office/drawing/2010/slicer">
              <sle:slicer xmlns:sle="http://schemas.microsoft.com/office/drawing/2010/slicer" name="Referred"/>
            </a:graphicData>
          </a:graphic>
        </xdr:graphicFrame>
      </mc:Choice>
      <mc:Fallback>
        <xdr:sp macro="" textlink="">
          <xdr:nvSpPr>
            <xdr:cNvPr id="0" name=""/>
            <xdr:cNvSpPr>
              <a:spLocks noTextEdit="1"/>
            </xdr:cNvSpPr>
          </xdr:nvSpPr>
          <xdr:spPr>
            <a:xfrm>
              <a:off x="0" y="5210175"/>
              <a:ext cx="1579244" cy="891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321944</xdr:colOff>
      <xdr:row>0</xdr:row>
      <xdr:rowOff>0</xdr:rowOff>
    </xdr:from>
    <xdr:to>
      <xdr:col>21</xdr:col>
      <xdr:colOff>535303</xdr:colOff>
      <xdr:row>4</xdr:row>
      <xdr:rowOff>102870</xdr:rowOff>
    </xdr:to>
    <xdr:sp macro="" textlink="">
      <xdr:nvSpPr>
        <xdr:cNvPr id="11" name="TextBox 10">
          <a:extLst>
            <a:ext uri="{FF2B5EF4-FFF2-40B4-BE49-F238E27FC236}">
              <a16:creationId xmlns:a16="http://schemas.microsoft.com/office/drawing/2014/main" id="{C6E655F1-95CE-590F-2A4F-47D8C39C97C1}"/>
            </a:ext>
          </a:extLst>
        </xdr:cNvPr>
        <xdr:cNvSpPr txBox="1"/>
      </xdr:nvSpPr>
      <xdr:spPr>
        <a:xfrm>
          <a:off x="931544" y="0"/>
          <a:ext cx="12405359" cy="826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a:solidFill>
                <a:schemeClr val="accent6">
                  <a:lumMod val="75000"/>
                </a:schemeClr>
              </a:solidFill>
              <a:latin typeface="Arial Black" panose="020B0A04020102020204" pitchFamily="34" charset="0"/>
            </a:rPr>
            <a:t>Segment Profitability Dashboard</a:t>
          </a:r>
        </a:p>
      </xdr:txBody>
    </xdr:sp>
    <xdr:clientData/>
  </xdr:twoCellAnchor>
  <xdr:twoCellAnchor>
    <xdr:from>
      <xdr:col>2</xdr:col>
      <xdr:colOff>440055</xdr:colOff>
      <xdr:row>24</xdr:row>
      <xdr:rowOff>76199</xdr:rowOff>
    </xdr:from>
    <xdr:to>
      <xdr:col>26</xdr:col>
      <xdr:colOff>11430</xdr:colOff>
      <xdr:row>33</xdr:row>
      <xdr:rowOff>133349</xdr:rowOff>
    </xdr:to>
    <xdr:sp macro="" textlink="">
      <xdr:nvSpPr>
        <xdr:cNvPr id="15" name="TextBox 14">
          <a:extLst>
            <a:ext uri="{FF2B5EF4-FFF2-40B4-BE49-F238E27FC236}">
              <a16:creationId xmlns:a16="http://schemas.microsoft.com/office/drawing/2014/main" id="{8CF31E9E-0E2A-BA47-C472-B2804E91140C}"/>
            </a:ext>
          </a:extLst>
        </xdr:cNvPr>
        <xdr:cNvSpPr txBox="1"/>
      </xdr:nvSpPr>
      <xdr:spPr>
        <a:xfrm>
          <a:off x="1659255" y="4419599"/>
          <a:ext cx="14201775" cy="1685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eaLnBrk="1" fontAlgn="auto" latinLnBrk="0" hangingPunct="1">
            <a:lnSpc>
              <a:spcPct val="100000"/>
            </a:lnSpc>
            <a:spcBef>
              <a:spcPts val="0"/>
            </a:spcBef>
            <a:spcAft>
              <a:spcPts val="0"/>
            </a:spcAft>
            <a:buClrTx/>
            <a:buSzTx/>
            <a:buFontTx/>
            <a:buNone/>
            <a:tabLst/>
            <a:defRPr/>
          </a:pPr>
          <a:r>
            <a:rPr lang="en-IN" sz="1600" b="0" i="0">
              <a:solidFill>
                <a:schemeClr val="accent6">
                  <a:lumMod val="75000"/>
                </a:schemeClr>
              </a:solidFill>
              <a:effectLst/>
              <a:latin typeface="+mn-lt"/>
              <a:ea typeface="+mn-ea"/>
              <a:cs typeface="+mn-cs"/>
            </a:rPr>
            <a:t>Key Recommendation:</a:t>
          </a:r>
        </a:p>
        <a:p>
          <a:pPr marL="0" marR="0" lvl="0" indent="0" defTabSz="914400" eaLnBrk="1" fontAlgn="auto" latinLnBrk="0" hangingPunct="1">
            <a:lnSpc>
              <a:spcPct val="100000"/>
            </a:lnSpc>
            <a:spcBef>
              <a:spcPts val="0"/>
            </a:spcBef>
            <a:spcAft>
              <a:spcPts val="0"/>
            </a:spcAft>
            <a:buClrTx/>
            <a:buSzTx/>
            <a:buFontTx/>
            <a:buNone/>
            <a:tabLst/>
            <a:defRPr/>
          </a:pPr>
          <a:r>
            <a:rPr lang="en-IN" sz="1600" b="0" i="0">
              <a:solidFill>
                <a:schemeClr val="accent6">
                  <a:lumMod val="75000"/>
                </a:schemeClr>
              </a:solidFill>
              <a:effectLst/>
              <a:latin typeface="+mn-lt"/>
              <a:ea typeface="+mn-ea"/>
              <a:cs typeface="+mn-cs"/>
            </a:rPr>
            <a:t>- Focus marketing and referral efforts in </a:t>
          </a:r>
          <a:r>
            <a:rPr lang="en-IN" sz="1600" b="1" i="0">
              <a:solidFill>
                <a:schemeClr val="accent6">
                  <a:lumMod val="75000"/>
                </a:schemeClr>
              </a:solidFill>
              <a:effectLst/>
              <a:latin typeface="+mn-lt"/>
              <a:ea typeface="+mn-ea"/>
              <a:cs typeface="+mn-cs"/>
            </a:rPr>
            <a:t>Mumbai</a:t>
          </a:r>
          <a:r>
            <a:rPr lang="en-IN" sz="1600" b="0" i="0">
              <a:solidFill>
                <a:schemeClr val="accent6">
                  <a:lumMod val="75000"/>
                </a:schemeClr>
              </a:solidFill>
              <a:effectLst/>
              <a:latin typeface="+mn-lt"/>
              <a:ea typeface="+mn-ea"/>
              <a:cs typeface="+mn-cs"/>
            </a:rPr>
            <a:t>, especially for </a:t>
          </a:r>
          <a:r>
            <a:rPr lang="en-IN" sz="1600" b="1" i="0">
              <a:solidFill>
                <a:schemeClr val="accent6">
                  <a:lumMod val="75000"/>
                </a:schemeClr>
              </a:solidFill>
              <a:effectLst/>
              <a:latin typeface="+mn-lt"/>
              <a:ea typeface="+mn-ea"/>
              <a:cs typeface="+mn-cs"/>
            </a:rPr>
            <a:t>Family</a:t>
          </a:r>
          <a:r>
            <a:rPr lang="en-IN" sz="1600" b="0" i="0">
              <a:solidFill>
                <a:schemeClr val="accent6">
                  <a:lumMod val="75000"/>
                </a:schemeClr>
              </a:solidFill>
              <a:effectLst/>
              <a:latin typeface="+mn-lt"/>
              <a:ea typeface="+mn-ea"/>
              <a:cs typeface="+mn-cs"/>
            </a:rPr>
            <a:t> and </a:t>
          </a:r>
          <a:r>
            <a:rPr lang="en-IN" sz="1600" b="1" i="0">
              <a:solidFill>
                <a:schemeClr val="accent6">
                  <a:lumMod val="75000"/>
                </a:schemeClr>
              </a:solidFill>
              <a:effectLst/>
              <a:latin typeface="+mn-lt"/>
              <a:ea typeface="+mn-ea"/>
              <a:cs typeface="+mn-cs"/>
            </a:rPr>
            <a:t>Premium</a:t>
          </a:r>
          <a:r>
            <a:rPr lang="en-IN" sz="1600" b="0" i="0">
              <a:solidFill>
                <a:schemeClr val="accent6">
                  <a:lumMod val="75000"/>
                </a:schemeClr>
              </a:solidFill>
              <a:effectLst/>
              <a:latin typeface="+mn-lt"/>
              <a:ea typeface="+mn-ea"/>
              <a:cs typeface="+mn-cs"/>
            </a:rPr>
            <a:t> memberships.</a:t>
          </a:r>
        </a:p>
        <a:p>
          <a:pPr marL="0" marR="0" lvl="0" indent="0" defTabSz="914400" eaLnBrk="1" fontAlgn="auto" latinLnBrk="0" hangingPunct="1">
            <a:lnSpc>
              <a:spcPct val="100000"/>
            </a:lnSpc>
            <a:spcBef>
              <a:spcPts val="0"/>
            </a:spcBef>
            <a:spcAft>
              <a:spcPts val="0"/>
            </a:spcAft>
            <a:buClrTx/>
            <a:buSzTx/>
            <a:buFontTx/>
            <a:buNone/>
            <a:tabLst/>
            <a:defRPr/>
          </a:pPr>
          <a:r>
            <a:rPr lang="en-IN" sz="1600" b="0" i="0">
              <a:solidFill>
                <a:schemeClr val="accent6">
                  <a:lumMod val="75000"/>
                </a:schemeClr>
              </a:solidFill>
              <a:effectLst/>
              <a:latin typeface="+mn-lt"/>
              <a:ea typeface="+mn-ea"/>
              <a:cs typeface="+mn-cs"/>
            </a:rPr>
            <a:t>- Target Family memberships in Delhi for expansion via referrals.</a:t>
          </a:r>
        </a:p>
        <a:p>
          <a:pPr marL="0" marR="0" lvl="0" indent="0" defTabSz="914400" eaLnBrk="1" fontAlgn="auto" latinLnBrk="0" hangingPunct="1">
            <a:lnSpc>
              <a:spcPct val="100000"/>
            </a:lnSpc>
            <a:spcBef>
              <a:spcPts val="0"/>
            </a:spcBef>
            <a:spcAft>
              <a:spcPts val="0"/>
            </a:spcAft>
            <a:buClrTx/>
            <a:buSzTx/>
            <a:buFontTx/>
            <a:buNone/>
            <a:tabLst/>
            <a:defRPr/>
          </a:pPr>
          <a:r>
            <a:rPr lang="en-IN" sz="1600" b="0" i="0">
              <a:solidFill>
                <a:schemeClr val="accent6">
                  <a:lumMod val="75000"/>
                </a:schemeClr>
              </a:solidFill>
              <a:effectLst/>
              <a:latin typeface="+mn-lt"/>
              <a:ea typeface="+mn-ea"/>
              <a:cs typeface="+mn-cs"/>
            </a:rPr>
            <a:t>- Promote Standard memberships with referrals in Kolkata.</a:t>
          </a:r>
        </a:p>
        <a:p>
          <a:pPr marL="0" marR="0" lvl="0" indent="0" defTabSz="914400" eaLnBrk="1" fontAlgn="auto" latinLnBrk="0" hangingPunct="1">
            <a:lnSpc>
              <a:spcPct val="100000"/>
            </a:lnSpc>
            <a:spcBef>
              <a:spcPts val="0"/>
            </a:spcBef>
            <a:spcAft>
              <a:spcPts val="0"/>
            </a:spcAft>
            <a:buClrTx/>
            <a:buSzTx/>
            <a:buFontTx/>
            <a:buNone/>
            <a:tabLst/>
            <a:defRPr/>
          </a:pPr>
          <a:r>
            <a:rPr lang="en-IN" sz="1600" b="0" i="0">
              <a:solidFill>
                <a:schemeClr val="accent6">
                  <a:lumMod val="75000"/>
                </a:schemeClr>
              </a:solidFill>
              <a:effectLst/>
              <a:latin typeface="+mn-lt"/>
              <a:ea typeface="+mn-ea"/>
              <a:cs typeface="+mn-cs"/>
            </a:rPr>
            <a:t>- Prioritize Premium/Family referrals in Bengaluru.</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refreshedDate="45955.505144907409" createdVersion="8" refreshedVersion="8" minRefreshableVersion="3" recordCount="35" xr:uid="{C9576022-80BB-44DE-AAC3-2EE6DB357A88}">
  <cacheSource type="worksheet">
    <worksheetSource ref="B1:M36" sheet="Dataset"/>
  </cacheSource>
  <cacheFields count="12">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acheField>
    <cacheField name="Start_Date" numFmtId="14">
      <sharedItems containsSemiMixedTypes="0" containsNonDate="0" containsDate="1" containsString="0" minDate="2023-05-19T00:00:00" maxDate="2025-02-27T00:00:00"/>
    </cacheField>
    <cacheField name="End_Date" numFmtId="14">
      <sharedItems containsSemiMixedTypes="0" containsNonDate="0" containsDate="1" containsString="0" minDate="2023-11-12T00:00:00" maxDate="2025-03-30T00:00:00"/>
    </cacheField>
    <cacheField name="Monthly_Fee" numFmtId="0">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acheField>
    <cacheField name="Referred_By" numFmtId="0">
      <sharedItems containsBlank="1"/>
    </cacheField>
    <cacheField name="Membership_Duration_Months" numFmtId="0">
      <sharedItems containsSemiMixedTypes="0" containsString="0" containsNumber="1" containsInteger="1" minValue="4" maxValue="568"/>
    </cacheField>
    <cacheField name="Referred" numFmtId="0">
      <sharedItems count="2">
        <s v="Yes"/>
        <s v="No"/>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Devesh" refreshedDate="45955.55433298611" createdVersion="8" refreshedVersion="8" minRefreshableVersion="3" recordCount="35" xr:uid="{A020018D-ADAC-4219-A4FD-6C37F59352A7}">
  <cacheSource type="worksheet">
    <worksheetSource ref="B1:N36" sheet="Dataset"/>
  </cacheSource>
  <cacheFields count="16">
    <cacheField name="Full_Name" numFmtId="0">
      <sharedItems/>
    </cacheField>
    <cacheField name="Age" numFmtId="0">
      <sharedItems containsSemiMixedTypes="0" containsString="0" containsNumber="1" containsInteger="1" minValue="19" maxValue="59"/>
    </cacheField>
    <cacheField name="Gender" numFmtId="0">
      <sharedItems count="2">
        <s v="Male"/>
        <s v="Female"/>
      </sharedItems>
    </cacheField>
    <cacheField name="Membership_Type" numFmtId="0">
      <sharedItems count="4">
        <s v="Basic"/>
        <s v="Standard"/>
        <s v="Family"/>
        <s v="Premium"/>
      </sharedItems>
    </cacheField>
    <cacheField name="Start_Date" numFmtId="14">
      <sharedItems containsSemiMixedTypes="0" containsNonDate="0" containsDate="1" containsString="0" minDate="2023-05-19T00:00:00" maxDate="2025-02-27T00:00:00"/>
    </cacheField>
    <cacheField name="End_Date" numFmtId="14">
      <sharedItems containsSemiMixedTypes="0" containsNonDate="0" containsDate="1" containsString="0" minDate="2023-11-12T00:00:00" maxDate="2025-03-30T00:00:00"/>
    </cacheField>
    <cacheField name="Monthly_Fee" numFmtId="1">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ount="6">
        <s v="Bengaluru"/>
        <s v="Pune"/>
        <s v="Hyderabad"/>
        <s v="Mumbai"/>
        <s v="Kolkata"/>
        <s v="Delhi"/>
      </sharedItems>
    </cacheField>
    <cacheField name="Referred_By" numFmtId="0">
      <sharedItems containsBlank="1" count="16">
        <s v="Hiran Shan"/>
        <s v="Kiara Kakar"/>
        <s v="Jhanvi Chaudhary"/>
        <s v="Tara Swaminathan"/>
        <s v="Madhav Singh"/>
        <s v="Shray Ramakrishnan"/>
        <m/>
        <s v="Nitara Comar"/>
        <s v="Ranbir Karan"/>
        <s v="Rati Sanghvi"/>
        <s v="Ishaan Kashyap"/>
        <s v="Tanya Bajwa"/>
        <s v="Adira Brar"/>
        <s v="Nakul Balakrishnan"/>
        <s v="Darshit Sidhu"/>
        <s v="Riya Dugal"/>
      </sharedItems>
    </cacheField>
    <cacheField name="Membership_Duration_Months" numFmtId="1">
      <sharedItems containsSemiMixedTypes="0" containsString="0" containsNumber="1" containsInteger="1" minValue="1" maxValue="18"/>
    </cacheField>
    <cacheField name="Referred" numFmtId="0">
      <sharedItems count="2">
        <s v="Yes"/>
        <s v="No"/>
      </sharedItems>
    </cacheField>
    <cacheField name="Total_Revenue" numFmtId="2">
      <sharedItems containsSemiMixedTypes="0" containsString="0" containsNumber="1" containsInteger="1" minValue="800" maxValue="35000" count="22">
        <n v="4800"/>
        <n v="800"/>
        <n v="6000"/>
        <n v="3600"/>
        <n v="17500"/>
        <n v="1600"/>
        <n v="5400"/>
        <n v="2400"/>
        <n v="15600"/>
        <n v="2500"/>
        <n v="13200"/>
        <n v="35000"/>
        <n v="8000"/>
        <n v="15000"/>
        <n v="30600"/>
        <n v="16200"/>
        <n v="1800"/>
        <n v="10800"/>
        <n v="1200"/>
        <n v="5000"/>
        <n v="14400"/>
        <n v="7200"/>
      </sharedItems>
    </cacheField>
    <cacheField name="avg_revenue_per_member" numFmtId="0" formula="Total_Revenue" databaseField="0"/>
    <cacheField name="Avg_revenue_per_person" numFmtId="0" formula="Total_Revenue/1" databaseField="0"/>
    <cacheField name="AveRevenuePerMember" numFmtId="0" formula="Total_Revenue /1" databaseField="0"/>
  </cacheFields>
  <extLst>
    <ext xmlns:x14="http://schemas.microsoft.com/office/spreadsheetml/2009/9/main" uri="{725AE2AE-9491-48be-B2B4-4EB974FC3084}">
      <x14:pivotCacheDefinition pivotCacheId="29842470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vesh" refreshedDate="45965.752685763888" createdVersion="8" refreshedVersion="8" minRefreshableVersion="3" recordCount="35" xr:uid="{7B2CF4F1-FA71-4383-91AD-1C98494FD421}">
  <cacheSource type="worksheet">
    <worksheetSource ref="B1:O36" sheet="Dataset"/>
  </cacheSource>
  <cacheFields count="14">
    <cacheField name="Full_Name" numFmtId="0">
      <sharedItems/>
    </cacheField>
    <cacheField name="Age" numFmtId="0">
      <sharedItems containsSemiMixedTypes="0" containsString="0" containsNumber="1" containsInteger="1" minValue="19" maxValue="59"/>
    </cacheField>
    <cacheField name="Gender" numFmtId="0">
      <sharedItems/>
    </cacheField>
    <cacheField name="Membership_Type" numFmtId="0">
      <sharedItems count="4">
        <s v="Basic"/>
        <s v="Standard"/>
        <s v="Family"/>
        <s v="Premium"/>
      </sharedItems>
    </cacheField>
    <cacheField name="Start_Date" numFmtId="14">
      <sharedItems containsSemiMixedTypes="0" containsNonDate="0" containsDate="1" containsString="0" minDate="2023-05-19T00:00:00" maxDate="2025-02-27T00:00:00"/>
    </cacheField>
    <cacheField name="End_Date" numFmtId="14">
      <sharedItems containsSemiMixedTypes="0" containsNonDate="0" containsDate="1" containsString="0" minDate="2023-11-12T00:00:00" maxDate="2025-03-30T00:00:00"/>
    </cacheField>
    <cacheField name="Monthly_Fee" numFmtId="1">
      <sharedItems containsSemiMixedTypes="0" containsString="0" containsNumber="1" containsInteger="1" minValue="800" maxValue="2500"/>
    </cacheField>
    <cacheField name="Attendance" numFmtId="0">
      <sharedItems containsSemiMixedTypes="0" containsString="0" containsNumber="1" containsInteger="1" minValue="2" maxValue="30"/>
    </cacheField>
    <cacheField name="City" numFmtId="0">
      <sharedItems/>
    </cacheField>
    <cacheField name="Referred_By" numFmtId="0">
      <sharedItems containsBlank="1"/>
    </cacheField>
    <cacheField name="Membership_Duration_Months" numFmtId="1">
      <sharedItems containsSemiMixedTypes="0" containsString="0" containsNumber="1" containsInteger="1" minValue="1" maxValue="18"/>
    </cacheField>
    <cacheField name="Referred" numFmtId="0">
      <sharedItems/>
    </cacheField>
    <cacheField name="Total_Revenue" numFmtId="1">
      <sharedItems containsSemiMixedTypes="0" containsString="0" containsNumber="1" containsInteger="1" minValue="800" maxValue="35000"/>
    </cacheField>
    <cacheField name="Age_group" numFmtId="0">
      <sharedItems count="2">
        <s v="Adults"/>
        <s v="Youth"/>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nay Shanker"/>
    <n v="59"/>
    <s v="Male"/>
    <s v="Basic"/>
    <d v="2023-11-05T00:00:00"/>
    <d v="2024-05-13T00:00:00"/>
    <n v="800"/>
    <n v="25"/>
    <s v="Bengaluru"/>
    <s v="Hiran Shan"/>
    <n v="190"/>
    <x v="0"/>
  </r>
  <r>
    <s v="Parinaaz Shanker"/>
    <n v="27"/>
    <s v="Male"/>
    <s v="Basic"/>
    <d v="2025-02-26T00:00:00"/>
    <d v="2025-03-24T00:00:00"/>
    <n v="800"/>
    <n v="20"/>
    <s v="Pune"/>
    <s v="Kiara Kakar"/>
    <n v="26"/>
    <x v="0"/>
  </r>
  <r>
    <s v="Aniruddh Batra"/>
    <n v="24"/>
    <s v="Male"/>
    <s v="Standard"/>
    <d v="2023-09-22T00:00:00"/>
    <d v="2024-03-20T00:00:00"/>
    <n v="1200"/>
    <n v="18"/>
    <s v="Hyderabad"/>
    <s v="Jhanvi Chaudhary"/>
    <n v="180"/>
    <x v="0"/>
  </r>
  <r>
    <s v="Madhup Kapur"/>
    <n v="31"/>
    <s v="Female"/>
    <s v="Standard"/>
    <d v="2024-07-06T00:00:00"/>
    <d v="2024-10-22T00:00:00"/>
    <n v="1200"/>
    <n v="16"/>
    <s v="Hyderabad"/>
    <s v="Tara Swaminathan"/>
    <n v="108"/>
    <x v="0"/>
  </r>
  <r>
    <s v="Rasha Kakar"/>
    <n v="19"/>
    <s v="Male"/>
    <s v="Family"/>
    <d v="2023-12-26T00:00:00"/>
    <d v="2024-07-28T00:00:00"/>
    <n v="2500"/>
    <n v="12"/>
    <s v="Bengaluru"/>
    <s v="Madhav Singh"/>
    <n v="215"/>
    <x v="0"/>
  </r>
  <r>
    <s v="Ehsaan Batra"/>
    <n v="40"/>
    <s v="Male"/>
    <s v="Basic"/>
    <d v="2024-01-26T00:00:00"/>
    <d v="2024-04-10T00:00:00"/>
    <n v="800"/>
    <n v="14"/>
    <s v="Mumbai"/>
    <s v="Shray Ramakrishnan"/>
    <n v="75"/>
    <x v="0"/>
  </r>
  <r>
    <s v="Zara Bains"/>
    <n v="41"/>
    <s v="Female"/>
    <s v="Basic"/>
    <d v="2024-10-23T00:00:00"/>
    <d v="2025-01-20T00:00:00"/>
    <n v="800"/>
    <n v="25"/>
    <s v="Pune"/>
    <m/>
    <n v="89"/>
    <x v="1"/>
  </r>
  <r>
    <s v="Uthkarsh Baral"/>
    <n v="43"/>
    <s v="Male"/>
    <s v="Premium"/>
    <d v="2024-06-07T00:00:00"/>
    <d v="2024-09-28T00:00:00"/>
    <n v="1800"/>
    <n v="28"/>
    <s v="Kolkata"/>
    <m/>
    <n v="113"/>
    <x v="1"/>
  </r>
  <r>
    <s v="Kashvi Char"/>
    <n v="42"/>
    <s v="Male"/>
    <s v="Basic"/>
    <d v="2024-10-04T00:00:00"/>
    <d v="2024-10-17T00:00:00"/>
    <n v="800"/>
    <n v="3"/>
    <s v="Kolkata"/>
    <s v="Nitara Comar"/>
    <n v="13"/>
    <x v="0"/>
  </r>
  <r>
    <s v="Dhanush Varma"/>
    <n v="37"/>
    <s v="Male"/>
    <s v="Standard"/>
    <d v="2023-10-03T00:00:00"/>
    <d v="2023-12-20T00:00:00"/>
    <n v="1200"/>
    <n v="29"/>
    <s v="Mumbai"/>
    <s v="Ranbir Karan"/>
    <n v="78"/>
    <x v="0"/>
  </r>
  <r>
    <s v="Ishaan Goyal"/>
    <n v="48"/>
    <s v="Female"/>
    <s v="Standard"/>
    <d v="2024-01-06T00:00:00"/>
    <d v="2024-06-16T00:00:00"/>
    <n v="1200"/>
    <n v="13"/>
    <s v="Bengaluru"/>
    <s v="Rati Sanghvi"/>
    <n v="162"/>
    <x v="0"/>
  </r>
  <r>
    <s v="Mahika Ravi"/>
    <n v="36"/>
    <s v="Male"/>
    <s v="Standard"/>
    <d v="2023-08-16T00:00:00"/>
    <d v="2024-10-03T00:00:00"/>
    <n v="1200"/>
    <n v="19"/>
    <s v="Kolkata"/>
    <s v="Ishaan Kashyap"/>
    <n v="414"/>
    <x v="0"/>
  </r>
  <r>
    <s v="Purab Reddy"/>
    <n v="48"/>
    <s v="Female"/>
    <s v="Premium"/>
    <d v="2024-09-21T00:00:00"/>
    <d v="2024-12-15T00:00:00"/>
    <n v="1800"/>
    <n v="22"/>
    <s v="Kolkata"/>
    <m/>
    <n v="85"/>
    <x v="1"/>
  </r>
  <r>
    <s v="Tiya Soni"/>
    <n v="39"/>
    <s v="Male"/>
    <s v="Standard"/>
    <d v="2023-05-19T00:00:00"/>
    <d v="2023-11-12T00:00:00"/>
    <n v="1200"/>
    <n v="28"/>
    <s v="Mumbai"/>
    <m/>
    <n v="177"/>
    <x v="1"/>
  </r>
  <r>
    <s v="Zara Dugar"/>
    <n v="44"/>
    <s v="Female"/>
    <s v="Basic"/>
    <d v="2024-02-11T00:00:00"/>
    <d v="2024-09-05T00:00:00"/>
    <n v="800"/>
    <n v="8"/>
    <s v="Hyderabad"/>
    <m/>
    <n v="207"/>
    <x v="1"/>
  </r>
  <r>
    <s v="Lakshit Mander"/>
    <n v="39"/>
    <s v="Male"/>
    <s v="Family"/>
    <d v="2025-02-14T00:00:00"/>
    <d v="2025-03-16T00:00:00"/>
    <n v="2500"/>
    <n v="14"/>
    <s v="Kolkata"/>
    <m/>
    <n v="30"/>
    <x v="1"/>
  </r>
  <r>
    <s v="Neysa Krish"/>
    <n v="35"/>
    <s v="Male"/>
    <s v="Standard"/>
    <d v="2024-02-07T00:00:00"/>
    <d v="2025-01-28T00:00:00"/>
    <n v="1200"/>
    <n v="25"/>
    <s v="Hyderabad"/>
    <m/>
    <n v="356"/>
    <x v="1"/>
  </r>
  <r>
    <s v="Prerak Boase"/>
    <n v="56"/>
    <s v="Female"/>
    <s v="Family"/>
    <d v="2023-10-14T00:00:00"/>
    <d v="2024-12-23T00:00:00"/>
    <n v="2500"/>
    <n v="13"/>
    <s v="Delhi"/>
    <m/>
    <n v="436"/>
    <x v="1"/>
  </r>
  <r>
    <s v="Siya Master"/>
    <n v="27"/>
    <s v="Female"/>
    <s v="Basic"/>
    <d v="2024-03-03T00:00:00"/>
    <d v="2025-01-07T00:00:00"/>
    <n v="800"/>
    <n v="26"/>
    <s v="Mumbai"/>
    <m/>
    <n v="310"/>
    <x v="1"/>
  </r>
  <r>
    <s v="Madhup Biswas"/>
    <n v="28"/>
    <s v="Male"/>
    <s v="Family"/>
    <d v="2024-05-05T00:00:00"/>
    <d v="2024-11-12T00:00:00"/>
    <n v="2500"/>
    <n v="21"/>
    <s v="Mumbai"/>
    <s v="Tanya Bajwa"/>
    <n v="191"/>
    <x v="0"/>
  </r>
  <r>
    <s v="Indrans Ratti"/>
    <n v="57"/>
    <s v="Female"/>
    <s v="Premium"/>
    <d v="2023-08-08T00:00:00"/>
    <d v="2025-01-17T00:00:00"/>
    <n v="1800"/>
    <n v="19"/>
    <s v="Mumbai"/>
    <m/>
    <n v="528"/>
    <x v="1"/>
  </r>
  <r>
    <s v="Kimaya Balay"/>
    <n v="26"/>
    <s v="Female"/>
    <s v="Premium"/>
    <d v="2024-01-29T00:00:00"/>
    <d v="2024-11-20T00:00:00"/>
    <n v="1800"/>
    <n v="5"/>
    <s v="Bengaluru"/>
    <m/>
    <n v="296"/>
    <x v="1"/>
  </r>
  <r>
    <s v="Eva Dass"/>
    <n v="48"/>
    <s v="Male"/>
    <s v="Premium"/>
    <d v="2024-06-08T00:00:00"/>
    <d v="2024-06-12T00:00:00"/>
    <n v="1800"/>
    <n v="18"/>
    <s v="Delhi"/>
    <m/>
    <n v="4"/>
    <x v="1"/>
  </r>
  <r>
    <s v="Pihu Wali"/>
    <n v="25"/>
    <s v="Female"/>
    <s v="Standard"/>
    <d v="2024-05-27T00:00:00"/>
    <d v="2025-03-14T00:00:00"/>
    <n v="1200"/>
    <n v="6"/>
    <s v="Bengaluru"/>
    <m/>
    <n v="291"/>
    <x v="1"/>
  </r>
  <r>
    <s v="Tiya Rege"/>
    <n v="53"/>
    <s v="Male"/>
    <s v="Premium"/>
    <d v="2023-12-26T00:00:00"/>
    <d v="2024-03-21T00:00:00"/>
    <n v="1800"/>
    <n v="17"/>
    <s v="Mumbai"/>
    <s v="Adira Brar"/>
    <n v="86"/>
    <x v="0"/>
  </r>
  <r>
    <s v="Aarav Sen"/>
    <n v="42"/>
    <s v="Female"/>
    <s v="Standard"/>
    <d v="2025-02-14T00:00:00"/>
    <d v="2025-03-11T00:00:00"/>
    <n v="1200"/>
    <n v="3"/>
    <s v="Delhi"/>
    <m/>
    <n v="25"/>
    <x v="1"/>
  </r>
  <r>
    <s v="Dishani Bera"/>
    <n v="24"/>
    <s v="Male"/>
    <s v="Family"/>
    <d v="2025-02-10T00:00:00"/>
    <d v="2025-03-10T00:00:00"/>
    <n v="2500"/>
    <n v="28"/>
    <s v="Mumbai"/>
    <m/>
    <n v="28"/>
    <x v="1"/>
  </r>
  <r>
    <s v="Indrans Grover"/>
    <n v="53"/>
    <s v="Male"/>
    <s v="Standard"/>
    <d v="2024-11-18T00:00:00"/>
    <d v="2024-12-19T00:00:00"/>
    <n v="1200"/>
    <n v="23"/>
    <s v="Pune"/>
    <m/>
    <n v="31"/>
    <x v="1"/>
  </r>
  <r>
    <s v="Kismat Edwin"/>
    <n v="29"/>
    <s v="Female"/>
    <s v="Family"/>
    <d v="2024-04-19T00:00:00"/>
    <d v="2024-04-26T00:00:00"/>
    <n v="2500"/>
    <n v="8"/>
    <s v="Hyderabad"/>
    <m/>
    <n v="7"/>
    <x v="1"/>
  </r>
  <r>
    <s v="Taran Vyas"/>
    <n v="31"/>
    <s v="Female"/>
    <s v="Family"/>
    <d v="2025-01-10T00:00:00"/>
    <d v="2025-03-29T00:00:00"/>
    <n v="2500"/>
    <n v="23"/>
    <s v="Kolkata"/>
    <s v="Nakul Balakrishnan"/>
    <n v="78"/>
    <x v="0"/>
  </r>
  <r>
    <s v="Jiya Baral"/>
    <n v="52"/>
    <s v="Female"/>
    <s v="Basic"/>
    <d v="2023-06-11T00:00:00"/>
    <d v="2024-12-30T00:00:00"/>
    <n v="800"/>
    <n v="9"/>
    <s v="Delhi"/>
    <s v="Darshit Sidhu"/>
    <n v="568"/>
    <x v="0"/>
  </r>
  <r>
    <s v="Gokul Sahni"/>
    <n v="20"/>
    <s v="Male"/>
    <s v="Standard"/>
    <d v="2024-04-09T00:00:00"/>
    <d v="2024-11-08T00:00:00"/>
    <n v="1200"/>
    <n v="2"/>
    <s v="Mumbai"/>
    <m/>
    <n v="213"/>
    <x v="1"/>
  </r>
  <r>
    <s v="Prerak Lalla"/>
    <n v="22"/>
    <s v="Male"/>
    <s v="Basic"/>
    <d v="2025-02-11T00:00:00"/>
    <d v="2025-03-24T00:00:00"/>
    <n v="800"/>
    <n v="30"/>
    <s v="Mumbai"/>
    <m/>
    <n v="41"/>
    <x v="1"/>
  </r>
  <r>
    <s v="Hrishita Shroff"/>
    <n v="23"/>
    <s v="Male"/>
    <s v="Premium"/>
    <d v="2024-10-23T00:00:00"/>
    <d v="2025-03-05T00:00:00"/>
    <n v="1800"/>
    <n v="23"/>
    <s v="Pune"/>
    <s v="Riya Dugal"/>
    <n v="133"/>
    <x v="0"/>
  </r>
  <r>
    <s v="Oorja Sachar"/>
    <n v="27"/>
    <s v="Female"/>
    <s v="Standard"/>
    <d v="2024-01-21T00:00:00"/>
    <d v="2024-12-26T00:00:00"/>
    <n v="1200"/>
    <n v="27"/>
    <s v="Pune"/>
    <m/>
    <n v="340"/>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nay Shanker"/>
    <n v="59"/>
    <x v="0"/>
    <x v="0"/>
    <d v="2023-11-05T00:00:00"/>
    <d v="2024-05-13T00:00:00"/>
    <n v="800"/>
    <n v="25"/>
    <x v="0"/>
    <x v="0"/>
    <n v="6"/>
    <x v="0"/>
    <x v="0"/>
  </r>
  <r>
    <s v="Parinaaz Shanker"/>
    <n v="27"/>
    <x v="0"/>
    <x v="0"/>
    <d v="2025-02-26T00:00:00"/>
    <d v="2025-03-24T00:00:00"/>
    <n v="800"/>
    <n v="20"/>
    <x v="1"/>
    <x v="1"/>
    <n v="1"/>
    <x v="0"/>
    <x v="1"/>
  </r>
  <r>
    <s v="Aniruddh Batra"/>
    <n v="24"/>
    <x v="0"/>
    <x v="1"/>
    <d v="2023-09-22T00:00:00"/>
    <d v="2024-03-20T00:00:00"/>
    <n v="1200"/>
    <n v="18"/>
    <x v="2"/>
    <x v="2"/>
    <n v="5"/>
    <x v="0"/>
    <x v="2"/>
  </r>
  <r>
    <s v="Madhup Kapur"/>
    <n v="31"/>
    <x v="1"/>
    <x v="1"/>
    <d v="2024-07-06T00:00:00"/>
    <d v="2024-10-22T00:00:00"/>
    <n v="1200"/>
    <n v="16"/>
    <x v="2"/>
    <x v="3"/>
    <n v="3"/>
    <x v="0"/>
    <x v="3"/>
  </r>
  <r>
    <s v="Rasha Kakar"/>
    <n v="19"/>
    <x v="0"/>
    <x v="2"/>
    <d v="2023-12-26T00:00:00"/>
    <d v="2024-07-28T00:00:00"/>
    <n v="2500"/>
    <n v="12"/>
    <x v="0"/>
    <x v="4"/>
    <n v="7"/>
    <x v="0"/>
    <x v="4"/>
  </r>
  <r>
    <s v="Ehsaan Batra"/>
    <n v="40"/>
    <x v="0"/>
    <x v="0"/>
    <d v="2024-01-26T00:00:00"/>
    <d v="2024-04-10T00:00:00"/>
    <n v="800"/>
    <n v="14"/>
    <x v="3"/>
    <x v="5"/>
    <n v="2"/>
    <x v="0"/>
    <x v="5"/>
  </r>
  <r>
    <s v="Zara Bains"/>
    <n v="41"/>
    <x v="1"/>
    <x v="0"/>
    <d v="2024-10-23T00:00:00"/>
    <d v="2025-01-20T00:00:00"/>
    <n v="800"/>
    <n v="25"/>
    <x v="1"/>
    <x v="6"/>
    <n v="2"/>
    <x v="1"/>
    <x v="5"/>
  </r>
  <r>
    <s v="Uthkarsh Baral"/>
    <n v="43"/>
    <x v="0"/>
    <x v="3"/>
    <d v="2024-06-07T00:00:00"/>
    <d v="2024-09-28T00:00:00"/>
    <n v="1800"/>
    <n v="28"/>
    <x v="4"/>
    <x v="6"/>
    <n v="3"/>
    <x v="1"/>
    <x v="6"/>
  </r>
  <r>
    <s v="Kashvi Char"/>
    <n v="42"/>
    <x v="0"/>
    <x v="0"/>
    <d v="2024-10-04T00:00:00"/>
    <d v="2024-10-17T00:00:00"/>
    <n v="800"/>
    <n v="3"/>
    <x v="4"/>
    <x v="7"/>
    <n v="1"/>
    <x v="0"/>
    <x v="1"/>
  </r>
  <r>
    <s v="Dhanush Varma"/>
    <n v="37"/>
    <x v="0"/>
    <x v="1"/>
    <d v="2023-10-03T00:00:00"/>
    <d v="2023-12-20T00:00:00"/>
    <n v="1200"/>
    <n v="29"/>
    <x v="3"/>
    <x v="8"/>
    <n v="2"/>
    <x v="0"/>
    <x v="7"/>
  </r>
  <r>
    <s v="Ishaan Goyal"/>
    <n v="48"/>
    <x v="1"/>
    <x v="1"/>
    <d v="2024-01-06T00:00:00"/>
    <d v="2024-06-16T00:00:00"/>
    <n v="1200"/>
    <n v="13"/>
    <x v="0"/>
    <x v="9"/>
    <n v="5"/>
    <x v="0"/>
    <x v="2"/>
  </r>
  <r>
    <s v="Mahika Ravi"/>
    <n v="36"/>
    <x v="0"/>
    <x v="1"/>
    <d v="2023-08-16T00:00:00"/>
    <d v="2024-10-03T00:00:00"/>
    <n v="1200"/>
    <n v="19"/>
    <x v="4"/>
    <x v="10"/>
    <n v="13"/>
    <x v="0"/>
    <x v="8"/>
  </r>
  <r>
    <s v="Purab Reddy"/>
    <n v="48"/>
    <x v="1"/>
    <x v="3"/>
    <d v="2024-09-21T00:00:00"/>
    <d v="2024-12-15T00:00:00"/>
    <n v="1800"/>
    <n v="22"/>
    <x v="4"/>
    <x v="6"/>
    <n v="2"/>
    <x v="1"/>
    <x v="3"/>
  </r>
  <r>
    <s v="Tiya Soni"/>
    <n v="39"/>
    <x v="0"/>
    <x v="1"/>
    <d v="2023-05-19T00:00:00"/>
    <d v="2023-11-12T00:00:00"/>
    <n v="1200"/>
    <n v="28"/>
    <x v="3"/>
    <x v="6"/>
    <n v="5"/>
    <x v="1"/>
    <x v="2"/>
  </r>
  <r>
    <s v="Zara Dugar"/>
    <n v="44"/>
    <x v="1"/>
    <x v="0"/>
    <d v="2024-02-11T00:00:00"/>
    <d v="2024-09-05T00:00:00"/>
    <n v="800"/>
    <n v="8"/>
    <x v="2"/>
    <x v="6"/>
    <n v="6"/>
    <x v="1"/>
    <x v="0"/>
  </r>
  <r>
    <s v="Lakshit Mander"/>
    <n v="39"/>
    <x v="0"/>
    <x v="2"/>
    <d v="2025-02-14T00:00:00"/>
    <d v="2025-03-16T00:00:00"/>
    <n v="2500"/>
    <n v="14"/>
    <x v="4"/>
    <x v="6"/>
    <n v="1"/>
    <x v="1"/>
    <x v="9"/>
  </r>
  <r>
    <s v="Neysa Krish"/>
    <n v="35"/>
    <x v="0"/>
    <x v="1"/>
    <d v="2024-02-07T00:00:00"/>
    <d v="2025-01-28T00:00:00"/>
    <n v="1200"/>
    <n v="25"/>
    <x v="2"/>
    <x v="6"/>
    <n v="11"/>
    <x v="1"/>
    <x v="10"/>
  </r>
  <r>
    <s v="Prerak Boase"/>
    <n v="56"/>
    <x v="1"/>
    <x v="2"/>
    <d v="2023-10-14T00:00:00"/>
    <d v="2024-12-23T00:00:00"/>
    <n v="2500"/>
    <n v="13"/>
    <x v="5"/>
    <x v="6"/>
    <n v="14"/>
    <x v="1"/>
    <x v="11"/>
  </r>
  <r>
    <s v="Siya Master"/>
    <n v="27"/>
    <x v="1"/>
    <x v="0"/>
    <d v="2024-03-03T00:00:00"/>
    <d v="2025-01-07T00:00:00"/>
    <n v="800"/>
    <n v="26"/>
    <x v="3"/>
    <x v="6"/>
    <n v="10"/>
    <x v="1"/>
    <x v="12"/>
  </r>
  <r>
    <s v="Madhup Biswas"/>
    <n v="28"/>
    <x v="0"/>
    <x v="2"/>
    <d v="2024-05-05T00:00:00"/>
    <d v="2024-11-12T00:00:00"/>
    <n v="2500"/>
    <n v="21"/>
    <x v="3"/>
    <x v="11"/>
    <n v="6"/>
    <x v="0"/>
    <x v="13"/>
  </r>
  <r>
    <s v="Indrans Ratti"/>
    <n v="57"/>
    <x v="1"/>
    <x v="3"/>
    <d v="2023-08-08T00:00:00"/>
    <d v="2025-01-17T00:00:00"/>
    <n v="1800"/>
    <n v="19"/>
    <x v="3"/>
    <x v="6"/>
    <n v="17"/>
    <x v="1"/>
    <x v="14"/>
  </r>
  <r>
    <s v="Kimaya Balay"/>
    <n v="26"/>
    <x v="1"/>
    <x v="3"/>
    <d v="2024-01-29T00:00:00"/>
    <d v="2024-11-20T00:00:00"/>
    <n v="1800"/>
    <n v="5"/>
    <x v="0"/>
    <x v="6"/>
    <n v="9"/>
    <x v="1"/>
    <x v="15"/>
  </r>
  <r>
    <s v="Eva Dass"/>
    <n v="48"/>
    <x v="0"/>
    <x v="3"/>
    <d v="2024-06-08T00:00:00"/>
    <d v="2024-06-12T00:00:00"/>
    <n v="1800"/>
    <n v="18"/>
    <x v="5"/>
    <x v="6"/>
    <n v="1"/>
    <x v="1"/>
    <x v="16"/>
  </r>
  <r>
    <s v="Pihu Wali"/>
    <n v="25"/>
    <x v="1"/>
    <x v="1"/>
    <d v="2024-05-27T00:00:00"/>
    <d v="2025-03-14T00:00:00"/>
    <n v="1200"/>
    <n v="6"/>
    <x v="0"/>
    <x v="6"/>
    <n v="9"/>
    <x v="1"/>
    <x v="17"/>
  </r>
  <r>
    <s v="Tiya Rege"/>
    <n v="53"/>
    <x v="0"/>
    <x v="3"/>
    <d v="2023-12-26T00:00:00"/>
    <d v="2024-03-21T00:00:00"/>
    <n v="1800"/>
    <n v="17"/>
    <x v="3"/>
    <x v="12"/>
    <n v="2"/>
    <x v="0"/>
    <x v="3"/>
  </r>
  <r>
    <s v="Aarav Sen"/>
    <n v="42"/>
    <x v="1"/>
    <x v="1"/>
    <d v="2025-02-14T00:00:00"/>
    <d v="2025-03-11T00:00:00"/>
    <n v="1200"/>
    <n v="3"/>
    <x v="5"/>
    <x v="6"/>
    <n v="1"/>
    <x v="1"/>
    <x v="18"/>
  </r>
  <r>
    <s v="Dishani Bera"/>
    <n v="24"/>
    <x v="0"/>
    <x v="2"/>
    <d v="2025-02-10T00:00:00"/>
    <d v="2025-03-10T00:00:00"/>
    <n v="2500"/>
    <n v="28"/>
    <x v="3"/>
    <x v="6"/>
    <n v="1"/>
    <x v="1"/>
    <x v="9"/>
  </r>
  <r>
    <s v="Indrans Grover"/>
    <n v="53"/>
    <x v="0"/>
    <x v="1"/>
    <d v="2024-11-18T00:00:00"/>
    <d v="2024-12-19T00:00:00"/>
    <n v="1200"/>
    <n v="23"/>
    <x v="1"/>
    <x v="6"/>
    <n v="1"/>
    <x v="1"/>
    <x v="18"/>
  </r>
  <r>
    <s v="Kismat Edwin"/>
    <n v="29"/>
    <x v="1"/>
    <x v="2"/>
    <d v="2024-04-19T00:00:00"/>
    <d v="2024-04-26T00:00:00"/>
    <n v="2500"/>
    <n v="8"/>
    <x v="2"/>
    <x v="6"/>
    <n v="1"/>
    <x v="1"/>
    <x v="9"/>
  </r>
  <r>
    <s v="Taran Vyas"/>
    <n v="31"/>
    <x v="1"/>
    <x v="2"/>
    <d v="2025-01-10T00:00:00"/>
    <d v="2025-03-29T00:00:00"/>
    <n v="2500"/>
    <n v="23"/>
    <x v="4"/>
    <x v="13"/>
    <n v="2"/>
    <x v="0"/>
    <x v="19"/>
  </r>
  <r>
    <s v="Jiya Baral"/>
    <n v="52"/>
    <x v="1"/>
    <x v="0"/>
    <d v="2023-06-11T00:00:00"/>
    <d v="2024-12-30T00:00:00"/>
    <n v="800"/>
    <n v="9"/>
    <x v="5"/>
    <x v="14"/>
    <n v="18"/>
    <x v="0"/>
    <x v="20"/>
  </r>
  <r>
    <s v="Gokul Sahni"/>
    <n v="20"/>
    <x v="0"/>
    <x v="1"/>
    <d v="2024-04-09T00:00:00"/>
    <d v="2024-11-08T00:00:00"/>
    <n v="1200"/>
    <n v="2"/>
    <x v="3"/>
    <x v="6"/>
    <n v="6"/>
    <x v="1"/>
    <x v="21"/>
  </r>
  <r>
    <s v="Prerak Lalla"/>
    <n v="22"/>
    <x v="0"/>
    <x v="0"/>
    <d v="2025-02-11T00:00:00"/>
    <d v="2025-03-24T00:00:00"/>
    <n v="800"/>
    <n v="30"/>
    <x v="3"/>
    <x v="6"/>
    <n v="1"/>
    <x v="1"/>
    <x v="1"/>
  </r>
  <r>
    <s v="Hrishita Shroff"/>
    <n v="23"/>
    <x v="0"/>
    <x v="3"/>
    <d v="2024-10-23T00:00:00"/>
    <d v="2025-03-05T00:00:00"/>
    <n v="1800"/>
    <n v="23"/>
    <x v="1"/>
    <x v="15"/>
    <n v="4"/>
    <x v="0"/>
    <x v="21"/>
  </r>
  <r>
    <s v="Oorja Sachar"/>
    <n v="27"/>
    <x v="1"/>
    <x v="1"/>
    <d v="2024-01-21T00:00:00"/>
    <d v="2024-12-26T00:00:00"/>
    <n v="1200"/>
    <n v="27"/>
    <x v="1"/>
    <x v="6"/>
    <n v="11"/>
    <x v="1"/>
    <x v="1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5">
  <r>
    <s v="Anay Shanker"/>
    <n v="59"/>
    <s v="Male"/>
    <x v="0"/>
    <d v="2023-11-05T00:00:00"/>
    <d v="2024-05-13T00:00:00"/>
    <n v="800"/>
    <n v="25"/>
    <s v="Bengaluru"/>
    <s v="Hiran Shan"/>
    <n v="6"/>
    <s v="Yes"/>
    <n v="4800"/>
    <x v="0"/>
  </r>
  <r>
    <s v="Parinaaz Shanker"/>
    <n v="27"/>
    <s v="Male"/>
    <x v="0"/>
    <d v="2025-02-26T00:00:00"/>
    <d v="2025-03-24T00:00:00"/>
    <n v="800"/>
    <n v="20"/>
    <s v="Pune"/>
    <s v="Kiara Kakar"/>
    <n v="1"/>
    <s v="Yes"/>
    <n v="800"/>
    <x v="1"/>
  </r>
  <r>
    <s v="Aniruddh Batra"/>
    <n v="24"/>
    <s v="Male"/>
    <x v="1"/>
    <d v="2023-09-22T00:00:00"/>
    <d v="2024-03-20T00:00:00"/>
    <n v="1200"/>
    <n v="18"/>
    <s v="Hyderabad"/>
    <s v="Jhanvi Chaudhary"/>
    <n v="5"/>
    <s v="Yes"/>
    <n v="6000"/>
    <x v="1"/>
  </r>
  <r>
    <s v="Madhup Kapur"/>
    <n v="31"/>
    <s v="Female"/>
    <x v="1"/>
    <d v="2024-07-06T00:00:00"/>
    <d v="2024-10-22T00:00:00"/>
    <n v="1200"/>
    <n v="16"/>
    <s v="Hyderabad"/>
    <s v="Tara Swaminathan"/>
    <n v="3"/>
    <s v="Yes"/>
    <n v="3600"/>
    <x v="0"/>
  </r>
  <r>
    <s v="Rasha Kakar"/>
    <n v="19"/>
    <s v="Male"/>
    <x v="2"/>
    <d v="2023-12-26T00:00:00"/>
    <d v="2024-07-28T00:00:00"/>
    <n v="2500"/>
    <n v="12"/>
    <s v="Bengaluru"/>
    <s v="Madhav Singh"/>
    <n v="7"/>
    <s v="Yes"/>
    <n v="17500"/>
    <x v="1"/>
  </r>
  <r>
    <s v="Ehsaan Batra"/>
    <n v="40"/>
    <s v="Male"/>
    <x v="0"/>
    <d v="2024-01-26T00:00:00"/>
    <d v="2024-04-10T00:00:00"/>
    <n v="800"/>
    <n v="14"/>
    <s v="Mumbai"/>
    <s v="Shray Ramakrishnan"/>
    <n v="2"/>
    <s v="Yes"/>
    <n v="1600"/>
    <x v="0"/>
  </r>
  <r>
    <s v="Zara Bains"/>
    <n v="41"/>
    <s v="Female"/>
    <x v="0"/>
    <d v="2024-10-23T00:00:00"/>
    <d v="2025-01-20T00:00:00"/>
    <n v="800"/>
    <n v="25"/>
    <s v="Pune"/>
    <m/>
    <n v="2"/>
    <s v="No"/>
    <n v="1600"/>
    <x v="0"/>
  </r>
  <r>
    <s v="Uthkarsh Baral"/>
    <n v="43"/>
    <s v="Male"/>
    <x v="3"/>
    <d v="2024-06-07T00:00:00"/>
    <d v="2024-09-28T00:00:00"/>
    <n v="1800"/>
    <n v="28"/>
    <s v="Kolkata"/>
    <m/>
    <n v="3"/>
    <s v="No"/>
    <n v="5400"/>
    <x v="0"/>
  </r>
  <r>
    <s v="Kashvi Char"/>
    <n v="42"/>
    <s v="Male"/>
    <x v="0"/>
    <d v="2024-10-04T00:00:00"/>
    <d v="2024-10-17T00:00:00"/>
    <n v="800"/>
    <n v="3"/>
    <s v="Kolkata"/>
    <s v="Nitara Comar"/>
    <n v="1"/>
    <s v="Yes"/>
    <n v="800"/>
    <x v="0"/>
  </r>
  <r>
    <s v="Dhanush Varma"/>
    <n v="37"/>
    <s v="Male"/>
    <x v="1"/>
    <d v="2023-10-03T00:00:00"/>
    <d v="2023-12-20T00:00:00"/>
    <n v="1200"/>
    <n v="29"/>
    <s v="Mumbai"/>
    <s v="Ranbir Karan"/>
    <n v="2"/>
    <s v="Yes"/>
    <n v="2400"/>
    <x v="0"/>
  </r>
  <r>
    <s v="Ishaan Goyal"/>
    <n v="48"/>
    <s v="Female"/>
    <x v="1"/>
    <d v="2024-01-06T00:00:00"/>
    <d v="2024-06-16T00:00:00"/>
    <n v="1200"/>
    <n v="13"/>
    <s v="Bengaluru"/>
    <s v="Rati Sanghvi"/>
    <n v="5"/>
    <s v="Yes"/>
    <n v="6000"/>
    <x v="0"/>
  </r>
  <r>
    <s v="Mahika Ravi"/>
    <n v="36"/>
    <s v="Male"/>
    <x v="1"/>
    <d v="2023-08-16T00:00:00"/>
    <d v="2024-10-03T00:00:00"/>
    <n v="1200"/>
    <n v="19"/>
    <s v="Kolkata"/>
    <s v="Ishaan Kashyap"/>
    <n v="13"/>
    <s v="Yes"/>
    <n v="15600"/>
    <x v="0"/>
  </r>
  <r>
    <s v="Purab Reddy"/>
    <n v="48"/>
    <s v="Female"/>
    <x v="3"/>
    <d v="2024-09-21T00:00:00"/>
    <d v="2024-12-15T00:00:00"/>
    <n v="1800"/>
    <n v="22"/>
    <s v="Kolkata"/>
    <m/>
    <n v="2"/>
    <s v="No"/>
    <n v="3600"/>
    <x v="0"/>
  </r>
  <r>
    <s v="Tiya Soni"/>
    <n v="39"/>
    <s v="Male"/>
    <x v="1"/>
    <d v="2023-05-19T00:00:00"/>
    <d v="2023-11-12T00:00:00"/>
    <n v="1200"/>
    <n v="28"/>
    <s v="Mumbai"/>
    <m/>
    <n v="5"/>
    <s v="No"/>
    <n v="6000"/>
    <x v="0"/>
  </r>
  <r>
    <s v="Zara Dugar"/>
    <n v="44"/>
    <s v="Female"/>
    <x v="0"/>
    <d v="2024-02-11T00:00:00"/>
    <d v="2024-09-05T00:00:00"/>
    <n v="800"/>
    <n v="8"/>
    <s v="Hyderabad"/>
    <m/>
    <n v="6"/>
    <s v="No"/>
    <n v="4800"/>
    <x v="0"/>
  </r>
  <r>
    <s v="Lakshit Mander"/>
    <n v="39"/>
    <s v="Male"/>
    <x v="2"/>
    <d v="2025-02-14T00:00:00"/>
    <d v="2025-03-16T00:00:00"/>
    <n v="2500"/>
    <n v="14"/>
    <s v="Kolkata"/>
    <m/>
    <n v="1"/>
    <s v="No"/>
    <n v="2500"/>
    <x v="0"/>
  </r>
  <r>
    <s v="Neysa Krish"/>
    <n v="35"/>
    <s v="Male"/>
    <x v="1"/>
    <d v="2024-02-07T00:00:00"/>
    <d v="2025-01-28T00:00:00"/>
    <n v="1200"/>
    <n v="25"/>
    <s v="Hyderabad"/>
    <m/>
    <n v="11"/>
    <s v="No"/>
    <n v="13200"/>
    <x v="0"/>
  </r>
  <r>
    <s v="Prerak Boase"/>
    <n v="56"/>
    <s v="Female"/>
    <x v="2"/>
    <d v="2023-10-14T00:00:00"/>
    <d v="2024-12-23T00:00:00"/>
    <n v="2500"/>
    <n v="13"/>
    <s v="Delhi"/>
    <m/>
    <n v="14"/>
    <s v="No"/>
    <n v="35000"/>
    <x v="0"/>
  </r>
  <r>
    <s v="Siya Master"/>
    <n v="27"/>
    <s v="Female"/>
    <x v="0"/>
    <d v="2024-03-03T00:00:00"/>
    <d v="2025-01-07T00:00:00"/>
    <n v="800"/>
    <n v="26"/>
    <s v="Mumbai"/>
    <m/>
    <n v="10"/>
    <s v="No"/>
    <n v="8000"/>
    <x v="1"/>
  </r>
  <r>
    <s v="Madhup Biswas"/>
    <n v="28"/>
    <s v="Male"/>
    <x v="2"/>
    <d v="2024-05-05T00:00:00"/>
    <d v="2024-11-12T00:00:00"/>
    <n v="2500"/>
    <n v="21"/>
    <s v="Mumbai"/>
    <s v="Tanya Bajwa"/>
    <n v="6"/>
    <s v="Yes"/>
    <n v="15000"/>
    <x v="1"/>
  </r>
  <r>
    <s v="Indrans Ratti"/>
    <n v="57"/>
    <s v="Female"/>
    <x v="3"/>
    <d v="2023-08-08T00:00:00"/>
    <d v="2025-01-17T00:00:00"/>
    <n v="1800"/>
    <n v="19"/>
    <s v="Mumbai"/>
    <m/>
    <n v="17"/>
    <s v="No"/>
    <n v="30600"/>
    <x v="0"/>
  </r>
  <r>
    <s v="Kimaya Balay"/>
    <n v="26"/>
    <s v="Female"/>
    <x v="3"/>
    <d v="2024-01-29T00:00:00"/>
    <d v="2024-11-20T00:00:00"/>
    <n v="1800"/>
    <n v="5"/>
    <s v="Bengaluru"/>
    <m/>
    <n v="9"/>
    <s v="No"/>
    <n v="16200"/>
    <x v="1"/>
  </r>
  <r>
    <s v="Eva Dass"/>
    <n v="48"/>
    <s v="Male"/>
    <x v="3"/>
    <d v="2024-06-08T00:00:00"/>
    <d v="2024-06-12T00:00:00"/>
    <n v="1800"/>
    <n v="18"/>
    <s v="Delhi"/>
    <m/>
    <n v="1"/>
    <s v="No"/>
    <n v="1800"/>
    <x v="0"/>
  </r>
  <r>
    <s v="Pihu Wali"/>
    <n v="25"/>
    <s v="Female"/>
    <x v="1"/>
    <d v="2024-05-27T00:00:00"/>
    <d v="2025-03-14T00:00:00"/>
    <n v="1200"/>
    <n v="6"/>
    <s v="Bengaluru"/>
    <m/>
    <n v="9"/>
    <s v="No"/>
    <n v="10800"/>
    <x v="1"/>
  </r>
  <r>
    <s v="Tiya Rege"/>
    <n v="53"/>
    <s v="Male"/>
    <x v="3"/>
    <d v="2023-12-26T00:00:00"/>
    <d v="2024-03-21T00:00:00"/>
    <n v="1800"/>
    <n v="17"/>
    <s v="Mumbai"/>
    <s v="Adira Brar"/>
    <n v="2"/>
    <s v="Yes"/>
    <n v="3600"/>
    <x v="0"/>
  </r>
  <r>
    <s v="Aarav Sen"/>
    <n v="42"/>
    <s v="Female"/>
    <x v="1"/>
    <d v="2025-02-14T00:00:00"/>
    <d v="2025-03-11T00:00:00"/>
    <n v="1200"/>
    <n v="3"/>
    <s v="Delhi"/>
    <m/>
    <n v="1"/>
    <s v="No"/>
    <n v="1200"/>
    <x v="0"/>
  </r>
  <r>
    <s v="Dishani Bera"/>
    <n v="24"/>
    <s v="Male"/>
    <x v="2"/>
    <d v="2025-02-10T00:00:00"/>
    <d v="2025-03-10T00:00:00"/>
    <n v="2500"/>
    <n v="28"/>
    <s v="Mumbai"/>
    <m/>
    <n v="1"/>
    <s v="No"/>
    <n v="2500"/>
    <x v="1"/>
  </r>
  <r>
    <s v="Indrans Grover"/>
    <n v="53"/>
    <s v="Male"/>
    <x v="1"/>
    <d v="2024-11-18T00:00:00"/>
    <d v="2024-12-19T00:00:00"/>
    <n v="1200"/>
    <n v="23"/>
    <s v="Pune"/>
    <m/>
    <n v="1"/>
    <s v="No"/>
    <n v="1200"/>
    <x v="0"/>
  </r>
  <r>
    <s v="Kismat Edwin"/>
    <n v="29"/>
    <s v="Female"/>
    <x v="2"/>
    <d v="2024-04-19T00:00:00"/>
    <d v="2024-04-26T00:00:00"/>
    <n v="2500"/>
    <n v="8"/>
    <s v="Hyderabad"/>
    <m/>
    <n v="1"/>
    <s v="No"/>
    <n v="2500"/>
    <x v="1"/>
  </r>
  <r>
    <s v="Taran Vyas"/>
    <n v="31"/>
    <s v="Female"/>
    <x v="2"/>
    <d v="2025-01-10T00:00:00"/>
    <d v="2025-03-29T00:00:00"/>
    <n v="2500"/>
    <n v="23"/>
    <s v="Kolkata"/>
    <s v="Nakul Balakrishnan"/>
    <n v="2"/>
    <s v="Yes"/>
    <n v="5000"/>
    <x v="0"/>
  </r>
  <r>
    <s v="Jiya Baral"/>
    <n v="52"/>
    <s v="Female"/>
    <x v="0"/>
    <d v="2023-06-11T00:00:00"/>
    <d v="2024-12-30T00:00:00"/>
    <n v="800"/>
    <n v="9"/>
    <s v="Delhi"/>
    <s v="Darshit Sidhu"/>
    <n v="18"/>
    <s v="Yes"/>
    <n v="14400"/>
    <x v="0"/>
  </r>
  <r>
    <s v="Gokul Sahni"/>
    <n v="20"/>
    <s v="Male"/>
    <x v="1"/>
    <d v="2024-04-09T00:00:00"/>
    <d v="2024-11-08T00:00:00"/>
    <n v="1200"/>
    <n v="2"/>
    <s v="Mumbai"/>
    <m/>
    <n v="6"/>
    <s v="No"/>
    <n v="7200"/>
    <x v="1"/>
  </r>
  <r>
    <s v="Prerak Lalla"/>
    <n v="22"/>
    <s v="Male"/>
    <x v="0"/>
    <d v="2025-02-11T00:00:00"/>
    <d v="2025-03-24T00:00:00"/>
    <n v="800"/>
    <n v="30"/>
    <s v="Mumbai"/>
    <m/>
    <n v="1"/>
    <s v="No"/>
    <n v="800"/>
    <x v="1"/>
  </r>
  <r>
    <s v="Hrishita Shroff"/>
    <n v="23"/>
    <s v="Male"/>
    <x v="3"/>
    <d v="2024-10-23T00:00:00"/>
    <d v="2025-03-05T00:00:00"/>
    <n v="1800"/>
    <n v="23"/>
    <s v="Pune"/>
    <s v="Riya Dugal"/>
    <n v="4"/>
    <s v="Yes"/>
    <n v="7200"/>
    <x v="1"/>
  </r>
  <r>
    <s v="Oorja Sachar"/>
    <n v="27"/>
    <s v="Female"/>
    <x v="1"/>
    <d v="2024-01-21T00:00:00"/>
    <d v="2024-12-26T00:00:00"/>
    <n v="1200"/>
    <n v="27"/>
    <s v="Pune"/>
    <m/>
    <n v="11"/>
    <s v="No"/>
    <n v="1320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AC319E-E4D1-4250-B42D-E24B6CA5E2D0}"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Referred">
  <location ref="A3:B5" firstHeaderRow="1" firstDataRow="1" firstDataCol="1"/>
  <pivotFields count="12">
    <pivotField showAll="0"/>
    <pivotField showAll="0"/>
    <pivotField showAll="0"/>
    <pivotField showAll="0"/>
    <pivotField numFmtId="14" showAll="0"/>
    <pivotField numFmtId="14" showAll="0"/>
    <pivotField dataField="1" showAll="0"/>
    <pivotField showAll="0"/>
    <pivotField showAll="0"/>
    <pivotField showAll="0"/>
    <pivotField showAll="0"/>
    <pivotField axis="axisRow" showAll="0">
      <items count="3">
        <item x="1"/>
        <item x="0"/>
        <item t="default"/>
      </items>
    </pivotField>
  </pivotFields>
  <rowFields count="1">
    <field x="11"/>
  </rowFields>
  <rowItems count="2">
    <i>
      <x/>
    </i>
    <i>
      <x v="1"/>
    </i>
  </rowItems>
  <colItems count="1">
    <i/>
  </colItems>
  <dataFields count="1">
    <dataField name="Average of Monthly_Fee" fld="6" subtotal="average"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D3A7A0-5F60-402C-950B-0CBB09D9C736}"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ies">
  <location ref="E3:F10" firstHeaderRow="1" firstDataRow="1" firstDataCol="1"/>
  <pivotFields count="16">
    <pivotField showAll="0"/>
    <pivotField showAll="0"/>
    <pivotField showAll="0"/>
    <pivotField showAll="0"/>
    <pivotField numFmtId="14" showAll="0"/>
    <pivotField numFmtId="14" showAll="0"/>
    <pivotField numFmtId="1" showAll="0"/>
    <pivotField showAll="0"/>
    <pivotField axis="axisRow" showAll="0">
      <items count="7">
        <item x="0"/>
        <item x="5"/>
        <item x="2"/>
        <item x="4"/>
        <item x="3"/>
        <item x="1"/>
        <item t="default"/>
      </items>
    </pivotField>
    <pivotField showAll="0"/>
    <pivotField numFmtId="1" showAll="0"/>
    <pivotField showAll="0"/>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7">
    <i>
      <x/>
    </i>
    <i>
      <x v="1"/>
    </i>
    <i>
      <x v="2"/>
    </i>
    <i>
      <x v="3"/>
    </i>
    <i>
      <x v="4"/>
    </i>
    <i>
      <x v="5"/>
    </i>
    <i t="grand">
      <x/>
    </i>
  </rowItems>
  <colItems count="1">
    <i/>
  </colItems>
  <dataFields count="1">
    <dataField name="Sum of Total_Revenue"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018D07E-80DA-45D9-8D4D-F1501CFBDC95}"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Membership Type">
  <location ref="A3:B6" firstHeaderRow="1" firstDataRow="1" firstDataCol="1"/>
  <pivotFields count="16">
    <pivotField showAll="0"/>
    <pivotField showAll="0"/>
    <pivotField showAll="0"/>
    <pivotField axis="axisRow" showAll="0">
      <items count="5">
        <item h="1" x="0"/>
        <item x="2"/>
        <item x="3"/>
        <item h="1" x="1"/>
        <item t="default"/>
      </items>
    </pivotField>
    <pivotField numFmtId="14" showAll="0"/>
    <pivotField numFmtId="14" showAll="0"/>
    <pivotField numFmtId="1" showAll="0"/>
    <pivotField showAll="0"/>
    <pivotField showAll="0"/>
    <pivotField showAll="0"/>
    <pivotField numFmtId="1" showAll="0"/>
    <pivotField showAll="0"/>
    <pivotField dataField="1" numFmtId="2" showAll="0">
      <items count="23">
        <item x="1"/>
        <item x="18"/>
        <item x="5"/>
        <item x="16"/>
        <item x="7"/>
        <item x="9"/>
        <item x="3"/>
        <item x="0"/>
        <item x="19"/>
        <item x="6"/>
        <item x="2"/>
        <item x="21"/>
        <item x="12"/>
        <item x="17"/>
        <item x="10"/>
        <item x="20"/>
        <item x="13"/>
        <item x="8"/>
        <item x="15"/>
        <item x="4"/>
        <item x="14"/>
        <item x="1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3">
    <i>
      <x v="1"/>
    </i>
    <i>
      <x v="2"/>
    </i>
    <i t="grand">
      <x/>
    </i>
  </rowItems>
  <colItems count="1">
    <i/>
  </colItems>
  <dataFields count="1">
    <dataField name="Sum of Total_Revenue" fld="12"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1DEF008-D4C9-4F48-B22E-AE40E042C701}"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C156" firstHeaderRow="0" firstDataRow="1" firstDataCol="1"/>
  <pivotFields count="16">
    <pivotField showAll="0"/>
    <pivotField showAll="0"/>
    <pivotField showAll="0"/>
    <pivotField axis="axisRow" showAll="0">
      <items count="5">
        <item x="0"/>
        <item x="2"/>
        <item x="3"/>
        <item x="1"/>
        <item t="default"/>
      </items>
    </pivotField>
    <pivotField numFmtId="14" showAll="0"/>
    <pivotField numFmtId="14" showAll="0"/>
    <pivotField numFmtId="1" showAll="0"/>
    <pivotField showAll="0"/>
    <pivotField axis="axisRow" showAll="0">
      <items count="7">
        <item x="0"/>
        <item x="5"/>
        <item x="2"/>
        <item x="4"/>
        <item x="3"/>
        <item x="1"/>
        <item t="default"/>
      </items>
    </pivotField>
    <pivotField showAll="0"/>
    <pivotField numFmtId="1" showAll="0"/>
    <pivotField axis="axisRow" showAll="0">
      <items count="3">
        <item x="1"/>
        <item x="0"/>
        <item t="default"/>
      </items>
    </pivotField>
    <pivotField dataField="1" numFmtId="2" showAll="0"/>
    <pivotField dragToRow="0" dragToCol="0" dragToPage="0" showAll="0" defaultSubtotal="0"/>
    <pivotField dragToRow="0" dragToCol="0" dragToPage="0" showAll="0" defaultSubtotal="0"/>
    <pivotField dataField="1" dragToRow="0" dragToCol="0" dragToPage="0" showAll="0" defaultSubtotal="0"/>
  </pivotFields>
  <rowFields count="3">
    <field x="8"/>
    <field x="3"/>
    <field x="11"/>
  </rowFields>
  <rowItems count="59">
    <i>
      <x/>
    </i>
    <i r="1">
      <x/>
    </i>
    <i r="2">
      <x v="1"/>
    </i>
    <i r="1">
      <x v="1"/>
    </i>
    <i r="2">
      <x v="1"/>
    </i>
    <i r="1">
      <x v="2"/>
    </i>
    <i r="2">
      <x/>
    </i>
    <i r="1">
      <x v="3"/>
    </i>
    <i r="2">
      <x/>
    </i>
    <i r="2">
      <x v="1"/>
    </i>
    <i>
      <x v="1"/>
    </i>
    <i r="1">
      <x/>
    </i>
    <i r="2">
      <x v="1"/>
    </i>
    <i r="1">
      <x v="1"/>
    </i>
    <i r="2">
      <x/>
    </i>
    <i r="1">
      <x v="2"/>
    </i>
    <i r="2">
      <x/>
    </i>
    <i r="1">
      <x v="3"/>
    </i>
    <i r="2">
      <x/>
    </i>
    <i>
      <x v="2"/>
    </i>
    <i r="1">
      <x/>
    </i>
    <i r="2">
      <x/>
    </i>
    <i r="1">
      <x v="1"/>
    </i>
    <i r="2">
      <x/>
    </i>
    <i r="1">
      <x v="3"/>
    </i>
    <i r="2">
      <x/>
    </i>
    <i r="2">
      <x v="1"/>
    </i>
    <i>
      <x v="3"/>
    </i>
    <i r="1">
      <x/>
    </i>
    <i r="2">
      <x v="1"/>
    </i>
    <i r="1">
      <x v="1"/>
    </i>
    <i r="2">
      <x/>
    </i>
    <i r="2">
      <x v="1"/>
    </i>
    <i r="1">
      <x v="2"/>
    </i>
    <i r="2">
      <x/>
    </i>
    <i r="1">
      <x v="3"/>
    </i>
    <i r="2">
      <x v="1"/>
    </i>
    <i>
      <x v="4"/>
    </i>
    <i r="1">
      <x/>
    </i>
    <i r="2">
      <x/>
    </i>
    <i r="2">
      <x v="1"/>
    </i>
    <i r="1">
      <x v="1"/>
    </i>
    <i r="2">
      <x/>
    </i>
    <i r="2">
      <x v="1"/>
    </i>
    <i r="1">
      <x v="2"/>
    </i>
    <i r="2">
      <x/>
    </i>
    <i r="2">
      <x v="1"/>
    </i>
    <i r="1">
      <x v="3"/>
    </i>
    <i r="2">
      <x/>
    </i>
    <i r="2">
      <x v="1"/>
    </i>
    <i>
      <x v="5"/>
    </i>
    <i r="1">
      <x/>
    </i>
    <i r="2">
      <x/>
    </i>
    <i r="2">
      <x v="1"/>
    </i>
    <i r="1">
      <x v="2"/>
    </i>
    <i r="2">
      <x v="1"/>
    </i>
    <i r="1">
      <x v="3"/>
    </i>
    <i r="2">
      <x/>
    </i>
    <i t="grand">
      <x/>
    </i>
  </rowItems>
  <colFields count="1">
    <field x="-2"/>
  </colFields>
  <colItems count="2">
    <i>
      <x/>
    </i>
    <i i="1">
      <x v="1"/>
    </i>
  </colItems>
  <dataFields count="2">
    <dataField name="Sum of Total_Revenue" fld="12" baseField="0" baseItem="0" numFmtId="2"/>
    <dataField name="Average of AveRevenuePerMember" fld="15" subtotal="average" baseField="8"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7CE073-FB87-41AC-A91F-4C9A4C57C7B3}"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6:C85" firstHeaderRow="0" firstDataRow="1" firstDataCol="1"/>
  <pivotFields count="16">
    <pivotField dataField="1" showAll="0"/>
    <pivotField showAll="0"/>
    <pivotField showAll="0">
      <items count="3">
        <item x="1"/>
        <item x="0"/>
        <item t="default"/>
      </items>
    </pivotField>
    <pivotField axis="axisRow" showAll="0">
      <items count="5">
        <item x="0"/>
        <item x="2"/>
        <item x="3"/>
        <item x="1"/>
        <item t="default"/>
      </items>
    </pivotField>
    <pivotField numFmtId="14" showAll="0"/>
    <pivotField numFmtId="14" showAll="0"/>
    <pivotField numFmtId="1" showAll="0"/>
    <pivotField showAll="0"/>
    <pivotField axis="axisRow" showAll="0">
      <items count="7">
        <item x="0"/>
        <item x="5"/>
        <item x="2"/>
        <item x="4"/>
        <item x="3"/>
        <item x="1"/>
        <item t="default"/>
      </items>
    </pivotField>
    <pivotField showAll="0"/>
    <pivotField numFmtId="1" showAll="0"/>
    <pivotField axis="axisRow" showAll="0">
      <items count="3">
        <item x="1"/>
        <item x="0"/>
        <item t="default"/>
      </items>
    </pivotField>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3">
    <field x="8"/>
    <field x="3"/>
    <field x="11"/>
  </rowFields>
  <rowItems count="59">
    <i>
      <x/>
    </i>
    <i r="1">
      <x/>
    </i>
    <i r="2">
      <x v="1"/>
    </i>
    <i r="1">
      <x v="1"/>
    </i>
    <i r="2">
      <x v="1"/>
    </i>
    <i r="1">
      <x v="2"/>
    </i>
    <i r="2">
      <x/>
    </i>
    <i r="1">
      <x v="3"/>
    </i>
    <i r="2">
      <x/>
    </i>
    <i r="2">
      <x v="1"/>
    </i>
    <i>
      <x v="1"/>
    </i>
    <i r="1">
      <x/>
    </i>
    <i r="2">
      <x v="1"/>
    </i>
    <i r="1">
      <x v="1"/>
    </i>
    <i r="2">
      <x/>
    </i>
    <i r="1">
      <x v="2"/>
    </i>
    <i r="2">
      <x/>
    </i>
    <i r="1">
      <x v="3"/>
    </i>
    <i r="2">
      <x/>
    </i>
    <i>
      <x v="2"/>
    </i>
    <i r="1">
      <x/>
    </i>
    <i r="2">
      <x/>
    </i>
    <i r="1">
      <x v="1"/>
    </i>
    <i r="2">
      <x/>
    </i>
    <i r="1">
      <x v="3"/>
    </i>
    <i r="2">
      <x/>
    </i>
    <i r="2">
      <x v="1"/>
    </i>
    <i>
      <x v="3"/>
    </i>
    <i r="1">
      <x/>
    </i>
    <i r="2">
      <x v="1"/>
    </i>
    <i r="1">
      <x v="1"/>
    </i>
    <i r="2">
      <x/>
    </i>
    <i r="2">
      <x v="1"/>
    </i>
    <i r="1">
      <x v="2"/>
    </i>
    <i r="2">
      <x/>
    </i>
    <i r="1">
      <x v="3"/>
    </i>
    <i r="2">
      <x v="1"/>
    </i>
    <i>
      <x v="4"/>
    </i>
    <i r="1">
      <x/>
    </i>
    <i r="2">
      <x/>
    </i>
    <i r="2">
      <x v="1"/>
    </i>
    <i r="1">
      <x v="1"/>
    </i>
    <i r="2">
      <x/>
    </i>
    <i r="2">
      <x v="1"/>
    </i>
    <i r="1">
      <x v="2"/>
    </i>
    <i r="2">
      <x/>
    </i>
    <i r="2">
      <x v="1"/>
    </i>
    <i r="1">
      <x v="3"/>
    </i>
    <i r="2">
      <x/>
    </i>
    <i r="2">
      <x v="1"/>
    </i>
    <i>
      <x v="5"/>
    </i>
    <i r="1">
      <x/>
    </i>
    <i r="2">
      <x/>
    </i>
    <i r="2">
      <x v="1"/>
    </i>
    <i r="1">
      <x v="2"/>
    </i>
    <i r="2">
      <x v="1"/>
    </i>
    <i r="1">
      <x v="3"/>
    </i>
    <i r="2">
      <x/>
    </i>
    <i t="grand">
      <x/>
    </i>
  </rowItems>
  <colFields count="1">
    <field x="-2"/>
  </colFields>
  <colItems count="2">
    <i>
      <x/>
    </i>
    <i i="1">
      <x v="1"/>
    </i>
  </colItems>
  <dataFields count="2">
    <dataField name="Count of Full_Name" fld="0" subtotal="count" baseField="0" baseItem="0"/>
    <dataField name="Average of Total_Revenue2" fld="12" subtotal="average" baseField="8" baseItem="0" numFmtId="2"/>
  </dataFields>
  <chartFormats count="4">
    <chartFormat chart="6"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1"/>
          </reference>
        </references>
      </pivotArea>
    </chartFormat>
    <chartFormat chart="9" format="7" series="1">
      <pivotArea type="data" outline="0" fieldPosition="0">
        <references count="1">
          <reference field="4294967294" count="1" selected="0">
            <x v="0"/>
          </reference>
        </references>
      </pivotArea>
    </chartFormat>
    <chartFormat chart="9"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EACF1C-064C-43B1-BD15-2BE1FB0E7E37}"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1:B24" firstHeaderRow="1" firstDataRow="1" firstDataCol="1"/>
  <pivotFields count="16">
    <pivotField showAll="0"/>
    <pivotField showAll="0"/>
    <pivotField showAll="0">
      <items count="3">
        <item x="1"/>
        <item x="0"/>
        <item t="default"/>
      </items>
    </pivotField>
    <pivotField showAll="0">
      <items count="5">
        <item x="0"/>
        <item x="2"/>
        <item x="3"/>
        <item x="1"/>
        <item t="default"/>
      </items>
    </pivotField>
    <pivotField numFmtId="14" showAll="0"/>
    <pivotField numFmtId="14" showAll="0"/>
    <pivotField numFmtId="1" showAll="0"/>
    <pivotField showAll="0"/>
    <pivotField showAll="0">
      <items count="7">
        <item x="0"/>
        <item x="5"/>
        <item x="2"/>
        <item x="4"/>
        <item x="3"/>
        <item x="1"/>
        <item t="default"/>
      </items>
    </pivotField>
    <pivotField showAll="0"/>
    <pivotField numFmtId="1" showAll="0"/>
    <pivotField axis="axisRow" showAll="0">
      <items count="3">
        <item x="1"/>
        <item x="0"/>
        <item t="default"/>
      </items>
    </pivotField>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11"/>
  </rowFields>
  <rowItems count="3">
    <i>
      <x/>
    </i>
    <i>
      <x v="1"/>
    </i>
    <i t="grand">
      <x/>
    </i>
  </rowItems>
  <colItems count="1">
    <i/>
  </colItems>
  <dataFields count="1">
    <dataField name="Average of Total_Revenue2" fld="12" subtotal="average" baseField="11" baseItem="0" numFmtId="2"/>
  </dataFields>
  <chartFormats count="4">
    <chartFormat chart="2" format="2"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0"/>
          </reference>
        </references>
      </pivotArea>
    </chartFormat>
    <chartFormat chart="5" format="19">
      <pivotArea type="data" outline="0" fieldPosition="0">
        <references count="2">
          <reference field="4294967294" count="1" selected="0">
            <x v="0"/>
          </reference>
          <reference field="11" count="1" selected="0">
            <x v="0"/>
          </reference>
        </references>
      </pivotArea>
    </chartFormat>
    <chartFormat chart="5" format="20">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5286B13-FC75-4F66-AED5-F79FA4C5FC1E}" name="PivotTable3" cacheId="6" applyNumberFormats="0" applyBorderFormats="0" applyFontFormats="0" applyPatternFormats="0" applyAlignmentFormats="0" applyWidthHeightFormats="1" dataCaption="Values" updatedVersion="8" minRefreshableVersion="3" showDrill="0" showDataTips="0" useAutoFormatting="1" itemPrintTitles="1" createdVersion="8" indent="0" showHeaders="0" outline="1" outlineData="1" multipleFieldFilters="0" chartFormat="19">
  <location ref="A14:B19" firstHeaderRow="1" firstDataRow="1" firstDataCol="1"/>
  <pivotFields count="16">
    <pivotField showAll="0"/>
    <pivotField showAll="0"/>
    <pivotField showAll="0">
      <items count="3">
        <item x="1"/>
        <item x="0"/>
        <item t="default"/>
      </items>
    </pivotField>
    <pivotField axis="axisRow" showAll="0">
      <items count="5">
        <item x="0"/>
        <item x="2"/>
        <item x="3"/>
        <item x="1"/>
        <item t="default"/>
      </items>
    </pivotField>
    <pivotField numFmtId="14" showAll="0"/>
    <pivotField numFmtId="14" showAll="0"/>
    <pivotField numFmtId="1" showAll="0"/>
    <pivotField showAll="0"/>
    <pivotField showAll="0">
      <items count="7">
        <item x="0"/>
        <item x="5"/>
        <item x="2"/>
        <item x="4"/>
        <item x="3"/>
        <item x="1"/>
        <item t="default"/>
      </items>
    </pivotField>
    <pivotField showAll="0"/>
    <pivotField numFmtId="1" showAll="0"/>
    <pivotField showAll="0">
      <items count="3">
        <item x="1"/>
        <item x="0"/>
        <item t="default"/>
      </items>
    </pivotField>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3"/>
  </rowFields>
  <rowItems count="5">
    <i>
      <x/>
    </i>
    <i>
      <x v="1"/>
    </i>
    <i>
      <x v="2"/>
    </i>
    <i>
      <x v="3"/>
    </i>
    <i t="grand">
      <x/>
    </i>
  </rowItems>
  <colItems count="1">
    <i/>
  </colItems>
  <dataFields count="1">
    <dataField name="Sum of Total_Revenue" fld="12" baseField="0" baseItem="0" numFmtId="2"/>
  </dataFields>
  <chartFormats count="12">
    <chartFormat chart="4" format="5"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 chart="7" format="4">
      <pivotArea type="data" outline="0" fieldPosition="0">
        <references count="2">
          <reference field="4294967294" count="1" selected="0">
            <x v="0"/>
          </reference>
          <reference field="3" count="1" selected="0">
            <x v="0"/>
          </reference>
        </references>
      </pivotArea>
    </chartFormat>
    <chartFormat chart="7" format="5">
      <pivotArea type="data" outline="0" fieldPosition="0">
        <references count="2">
          <reference field="4294967294" count="1" selected="0">
            <x v="0"/>
          </reference>
          <reference field="3" count="1" selected="0">
            <x v="1"/>
          </reference>
        </references>
      </pivotArea>
    </chartFormat>
    <chartFormat chart="7" format="6">
      <pivotArea type="data" outline="0" fieldPosition="0">
        <references count="2">
          <reference field="4294967294" count="1" selected="0">
            <x v="0"/>
          </reference>
          <reference field="3" count="1" selected="0">
            <x v="2"/>
          </reference>
        </references>
      </pivotArea>
    </chartFormat>
    <chartFormat chart="7" format="7">
      <pivotArea type="data" outline="0" fieldPosition="0">
        <references count="2">
          <reference field="4294967294" count="1" selected="0">
            <x v="0"/>
          </reference>
          <reference field="3" count="1" selected="0">
            <x v="3"/>
          </reference>
        </references>
      </pivotArea>
    </chartFormat>
    <chartFormat chart="8" format="18" series="1">
      <pivotArea type="data" outline="0" fieldPosition="0">
        <references count="1">
          <reference field="4294967294" count="1" selected="0">
            <x v="0"/>
          </reference>
        </references>
      </pivotArea>
    </chartFormat>
    <chartFormat chart="8" format="19">
      <pivotArea type="data" outline="0" fieldPosition="0">
        <references count="2">
          <reference field="4294967294" count="1" selected="0">
            <x v="0"/>
          </reference>
          <reference field="3" count="1" selected="0">
            <x v="0"/>
          </reference>
        </references>
      </pivotArea>
    </chartFormat>
    <chartFormat chart="8" format="20">
      <pivotArea type="data" outline="0" fieldPosition="0">
        <references count="2">
          <reference field="4294967294" count="1" selected="0">
            <x v="0"/>
          </reference>
          <reference field="3" count="1" selected="0">
            <x v="1"/>
          </reference>
        </references>
      </pivotArea>
    </chartFormat>
    <chartFormat chart="8" format="21">
      <pivotArea type="data" outline="0" fieldPosition="0">
        <references count="2">
          <reference field="4294967294" count="1" selected="0">
            <x v="0"/>
          </reference>
          <reference field="3" count="1" selected="0">
            <x v="2"/>
          </reference>
        </references>
      </pivotArea>
    </chartFormat>
    <chartFormat chart="8" format="2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2DF67E-A440-4789-A266-F9850F85E9DC}"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0" firstHeaderRow="1" firstDataRow="1" firstDataCol="1"/>
  <pivotFields count="16">
    <pivotField showAll="0"/>
    <pivotField showAll="0"/>
    <pivotField showAll="0">
      <items count="3">
        <item x="1"/>
        <item x="0"/>
        <item t="default"/>
      </items>
    </pivotField>
    <pivotField showAll="0">
      <items count="5">
        <item x="0"/>
        <item x="2"/>
        <item x="3"/>
        <item x="1"/>
        <item t="default"/>
      </items>
    </pivotField>
    <pivotField numFmtId="14" showAll="0"/>
    <pivotField numFmtId="14" showAll="0"/>
    <pivotField numFmtId="1" showAll="0"/>
    <pivotField showAll="0"/>
    <pivotField axis="axisRow" showAll="0">
      <items count="7">
        <item x="0"/>
        <item x="5"/>
        <item x="2"/>
        <item x="4"/>
        <item x="3"/>
        <item x="1"/>
        <item t="default"/>
      </items>
    </pivotField>
    <pivotField showAll="0"/>
    <pivotField numFmtId="1" showAll="0"/>
    <pivotField showAll="0">
      <items count="3">
        <item x="1"/>
        <item x="0"/>
        <item t="default"/>
      </items>
    </pivotField>
    <pivotField dataField="1" numFmtId="2" showAll="0">
      <items count="23">
        <item x="1"/>
        <item x="18"/>
        <item x="5"/>
        <item x="16"/>
        <item x="7"/>
        <item x="9"/>
        <item x="3"/>
        <item x="0"/>
        <item x="19"/>
        <item x="6"/>
        <item x="2"/>
        <item x="21"/>
        <item x="12"/>
        <item x="17"/>
        <item x="10"/>
        <item x="20"/>
        <item x="13"/>
        <item x="8"/>
        <item x="15"/>
        <item x="4"/>
        <item x="14"/>
        <item x="11"/>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8"/>
  </rowFields>
  <rowItems count="7">
    <i>
      <x/>
    </i>
    <i>
      <x v="1"/>
    </i>
    <i>
      <x v="2"/>
    </i>
    <i>
      <x v="3"/>
    </i>
    <i>
      <x v="4"/>
    </i>
    <i>
      <x v="5"/>
    </i>
    <i t="grand">
      <x/>
    </i>
  </rowItems>
  <colItems count="1">
    <i/>
  </colItems>
  <dataFields count="1">
    <dataField name="Sum of Total_Revenue" fld="12" baseField="0" baseItem="0" numFmtId="2"/>
  </dataFields>
  <chartFormats count="7">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8" count="1" selected="0">
            <x v="0"/>
          </reference>
        </references>
      </pivotArea>
    </chartFormat>
    <chartFormat chart="8" format="10">
      <pivotArea type="data" outline="0" fieldPosition="0">
        <references count="2">
          <reference field="4294967294" count="1" selected="0">
            <x v="0"/>
          </reference>
          <reference field="8" count="1" selected="0">
            <x v="1"/>
          </reference>
        </references>
      </pivotArea>
    </chartFormat>
    <chartFormat chart="8" format="11">
      <pivotArea type="data" outline="0" fieldPosition="0">
        <references count="2">
          <reference field="4294967294" count="1" selected="0">
            <x v="0"/>
          </reference>
          <reference field="8" count="1" selected="0">
            <x v="2"/>
          </reference>
        </references>
      </pivotArea>
    </chartFormat>
    <chartFormat chart="8" format="12">
      <pivotArea type="data" outline="0" fieldPosition="0">
        <references count="2">
          <reference field="4294967294" count="1" selected="0">
            <x v="0"/>
          </reference>
          <reference field="8" count="1" selected="0">
            <x v="3"/>
          </reference>
        </references>
      </pivotArea>
    </chartFormat>
    <chartFormat chart="8" format="13">
      <pivotArea type="data" outline="0" fieldPosition="0">
        <references count="2">
          <reference field="4294967294" count="1" selected="0">
            <x v="0"/>
          </reference>
          <reference field="8" count="1" selected="0">
            <x v="4"/>
          </reference>
        </references>
      </pivotArea>
    </chartFormat>
    <chartFormat chart="8" format="14">
      <pivotArea type="data" outline="0" fieldPosition="0">
        <references count="2">
          <reference field="4294967294" count="1" selected="0">
            <x v="0"/>
          </reference>
          <reference field="8"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3F3D51-12E6-42FE-83E2-C0383097FF91}" name="PivotTable5"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87:C93" firstHeaderRow="0" firstDataRow="1" firstDataCol="1"/>
  <pivotFields count="16">
    <pivotField showAll="0"/>
    <pivotField showAll="0"/>
    <pivotField showAll="0">
      <items count="3">
        <item x="1"/>
        <item x="0"/>
        <item t="default"/>
      </items>
    </pivotField>
    <pivotField showAll="0">
      <items count="5">
        <item x="0"/>
        <item x="2"/>
        <item x="3"/>
        <item x="1"/>
        <item t="default"/>
      </items>
    </pivotField>
    <pivotField numFmtId="14" showAll="0"/>
    <pivotField numFmtId="14" showAll="0"/>
    <pivotField numFmtId="1" showAll="0"/>
    <pivotField showAll="0"/>
    <pivotField axis="axisRow" showAll="0">
      <items count="7">
        <item x="0"/>
        <item x="5"/>
        <item x="2"/>
        <item x="4"/>
        <item x="3"/>
        <item x="1"/>
        <item t="default"/>
      </items>
    </pivotField>
    <pivotField showAll="0"/>
    <pivotField numFmtId="1" showAll="0"/>
    <pivotField showAll="0">
      <items count="3">
        <item x="1"/>
        <item x="0"/>
        <item t="default"/>
      </items>
    </pivotField>
    <pivotField dataField="1" numFmtId="2"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6">
    <i>
      <x/>
    </i>
    <i>
      <x v="1"/>
    </i>
    <i>
      <x v="2"/>
    </i>
    <i>
      <x v="3"/>
    </i>
    <i>
      <x v="4"/>
    </i>
    <i>
      <x v="5"/>
    </i>
  </rowItems>
  <colFields count="1">
    <field x="-2"/>
  </colFields>
  <colItems count="2">
    <i>
      <x/>
    </i>
    <i i="1">
      <x v="1"/>
    </i>
  </colItems>
  <dataFields count="2">
    <dataField name="Sum of Total_Revenue" fld="12" baseField="0" baseItem="0" numFmtId="2"/>
    <dataField name="Average of Total_Revenue2" fld="12" subtotal="average" baseField="8" baseItem="2" numFmtId="2"/>
  </dataFields>
  <chartFormats count="2">
    <chartFormat chart="3" format="22" series="1">
      <pivotArea type="data" outline="0" fieldPosition="0">
        <references count="1">
          <reference field="4294967294" count="1" selected="0">
            <x v="0"/>
          </reference>
        </references>
      </pivotArea>
    </chartFormat>
    <chartFormat chart="3" format="2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683D88A-3822-40F3-BFC0-A5818683C7C2}" name="PivotTable9" cacheId="1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F2:H7" firstHeaderRow="1" firstDataRow="2" firstDataCol="1"/>
  <pivotFields count="14">
    <pivotField showAll="0"/>
    <pivotField showAll="0"/>
    <pivotField showAll="0"/>
    <pivotField axis="axisRow" showAll="0">
      <items count="5">
        <item x="0"/>
        <item x="2"/>
        <item x="3"/>
        <item x="1"/>
        <item t="default"/>
      </items>
    </pivotField>
    <pivotField numFmtId="14" showAll="0"/>
    <pivotField numFmtId="14" showAll="0"/>
    <pivotField numFmtId="1" showAll="0"/>
    <pivotField showAll="0"/>
    <pivotField showAll="0"/>
    <pivotField showAll="0"/>
    <pivotField numFmtId="1" showAll="0"/>
    <pivotField showAll="0"/>
    <pivotField numFmtId="1" showAll="0"/>
    <pivotField axis="axisCol" dataField="1" showAll="0">
      <items count="3">
        <item x="0"/>
        <item x="1"/>
        <item t="default"/>
      </items>
    </pivotField>
  </pivotFields>
  <rowFields count="1">
    <field x="3"/>
  </rowFields>
  <rowItems count="4">
    <i>
      <x/>
    </i>
    <i>
      <x v="1"/>
    </i>
    <i>
      <x v="2"/>
    </i>
    <i>
      <x v="3"/>
    </i>
  </rowItems>
  <colFields count="1">
    <field x="13"/>
  </colFields>
  <colItems count="2">
    <i>
      <x/>
    </i>
    <i>
      <x v="1"/>
    </i>
  </colItems>
  <dataFields count="1">
    <dataField name="Count of Age_group" fld="13" subtotal="count" baseField="0" baseItem="0"/>
  </dataFields>
  <formats count="8">
    <format dxfId="7">
      <pivotArea type="all" dataOnly="0" outline="0" fieldPosition="0"/>
    </format>
    <format dxfId="6">
      <pivotArea outline="0" collapsedLevelsAreSubtotals="1" fieldPosition="0"/>
    </format>
    <format dxfId="5">
      <pivotArea type="origin" dataOnly="0" labelOnly="1" outline="0" fieldPosition="0"/>
    </format>
    <format dxfId="4">
      <pivotArea field="13" type="button" dataOnly="0" labelOnly="1" outline="0" axis="axisCol" fieldPosition="0"/>
    </format>
    <format dxfId="3">
      <pivotArea type="topRight" dataOnly="0" labelOnly="1" outline="0" fieldPosition="0"/>
    </format>
    <format dxfId="2">
      <pivotArea field="3" type="button" dataOnly="0" labelOnly="1" outline="0" axis="axisRow" fieldPosition="0"/>
    </format>
    <format dxfId="1">
      <pivotArea dataOnly="0" labelOnly="1" fieldPosition="0">
        <references count="1">
          <reference field="3" count="0"/>
        </references>
      </pivotArea>
    </format>
    <format dxfId="0">
      <pivotArea dataOnly="0" labelOnly="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168A4B5-8414-42D9-923E-CDFB7EDE53E8}" name="PivotTable7"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B2:D9" firstHeaderRow="1" firstDataRow="2" firstDataCol="1"/>
  <pivotFields count="16">
    <pivotField showAll="0"/>
    <pivotField showAll="0"/>
    <pivotField axis="axisCol" dataField="1" showAll="0">
      <items count="3">
        <item x="1"/>
        <item x="0"/>
        <item t="default"/>
      </items>
    </pivotField>
    <pivotField showAll="0"/>
    <pivotField numFmtId="14" showAll="0"/>
    <pivotField numFmtId="14" showAll="0"/>
    <pivotField numFmtId="1" showAll="0"/>
    <pivotField showAll="0"/>
    <pivotField axis="axisRow" showAll="0">
      <items count="7">
        <item x="0"/>
        <item x="5"/>
        <item x="2"/>
        <item x="4"/>
        <item x="3"/>
        <item x="1"/>
        <item t="default"/>
      </items>
    </pivotField>
    <pivotField showAll="0"/>
    <pivotField numFmtId="1" showAll="0"/>
    <pivotField showAll="0"/>
    <pivotField numFmtId="2" showAll="0"/>
    <pivotField dragToRow="0" dragToCol="0" dragToPage="0" showAll="0" defaultSubtotal="0"/>
    <pivotField dragToRow="0" dragToCol="0" dragToPage="0" showAll="0" defaultSubtotal="0"/>
    <pivotField dragToRow="0" dragToCol="0" dragToPage="0" showAll="0" defaultSubtotal="0"/>
  </pivotFields>
  <rowFields count="1">
    <field x="8"/>
  </rowFields>
  <rowItems count="6">
    <i>
      <x/>
    </i>
    <i>
      <x v="1"/>
    </i>
    <i>
      <x v="2"/>
    </i>
    <i>
      <x v="3"/>
    </i>
    <i>
      <x v="4"/>
    </i>
    <i>
      <x v="5"/>
    </i>
  </rowItems>
  <colFields count="1">
    <field x="2"/>
  </colFields>
  <colItems count="2">
    <i>
      <x/>
    </i>
    <i>
      <x v="1"/>
    </i>
  </colItems>
  <dataFields count="1">
    <dataField name="Count of Gender" fld="2" subtotal="count" baseField="0" baseItem="0"/>
  </dataFields>
  <formats count="8">
    <format dxfId="15">
      <pivotArea type="all" dataOnly="0" outline="0" fieldPosition="0"/>
    </format>
    <format dxfId="14">
      <pivotArea outline="0" collapsedLevelsAreSubtotals="1" fieldPosition="0"/>
    </format>
    <format dxfId="13">
      <pivotArea type="origin" dataOnly="0" labelOnly="1" outline="0" fieldPosition="0"/>
    </format>
    <format dxfId="12">
      <pivotArea field="2" type="button" dataOnly="0" labelOnly="1" outline="0" axis="axisCol" fieldPosition="0"/>
    </format>
    <format dxfId="11">
      <pivotArea type="topRight" dataOnly="0" labelOnly="1" outline="0" fieldPosition="0"/>
    </format>
    <format dxfId="10">
      <pivotArea field="8" type="button" dataOnly="0" labelOnly="1" outline="0" axis="axisRow" fieldPosition="0"/>
    </format>
    <format dxfId="9">
      <pivotArea dataOnly="0" labelOnly="1" fieldPosition="0">
        <references count="1">
          <reference field="8" count="0"/>
        </references>
      </pivotArea>
    </format>
    <format dxfId="8">
      <pivotArea dataOnly="0" labelOnly="1" fieldPosition="0">
        <references count="1">
          <reference field="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C88F157-F4A7-4CEF-8BBE-90A6D2A30C49}" sourceName="Gender">
  <pivotTables>
    <pivotTable tabId="6" name="PivotTable1"/>
    <pivotTable tabId="6" name="PivotTable2"/>
    <pivotTable tabId="6" name="PivotTable3"/>
    <pivotTable tabId="6" name="PivotTable4"/>
    <pivotTable tabId="6" name="PivotTable5"/>
  </pivotTables>
  <data>
    <tabular pivotCacheId="298424703">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mbership_Type" xr10:uid="{31F28A39-D0BE-4E79-854D-DADD5691BA23}" sourceName="Membership_Type">
  <pivotTables>
    <pivotTable tabId="6" name="PivotTable1"/>
    <pivotTable tabId="6" name="PivotTable2"/>
    <pivotTable tabId="6" name="PivotTable3"/>
    <pivotTable tabId="6" name="PivotTable4"/>
    <pivotTable tabId="6" name="PivotTable5"/>
  </pivotTables>
  <data>
    <tabular pivotCacheId="298424703">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D41F401B-EB93-4E80-B648-B12C5045D061}" sourceName="City">
  <pivotTables>
    <pivotTable tabId="6" name="PivotTable1"/>
    <pivotTable tabId="6" name="PivotTable2"/>
    <pivotTable tabId="6" name="PivotTable3"/>
    <pivotTable tabId="6" name="PivotTable4"/>
    <pivotTable tabId="6" name="PivotTable5"/>
  </pivotTables>
  <data>
    <tabular pivotCacheId="298424703">
      <items count="6">
        <i x="0" s="1"/>
        <i x="5" s="1"/>
        <i x="2" s="1"/>
        <i x="4"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red" xr10:uid="{694FD755-602D-4DA8-B1DB-92312AFD27AA}" sourceName="Referred">
  <pivotTables>
    <pivotTable tabId="6" name="PivotTable1"/>
    <pivotTable tabId="6" name="PivotTable2"/>
    <pivotTable tabId="6" name="PivotTable3"/>
    <pivotTable tabId="6" name="PivotTable4"/>
    <pivotTable tabId="6" name="PivotTable5"/>
  </pivotTables>
  <data>
    <tabular pivotCacheId="29842470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B6859B8-5D7E-4159-B295-CFAAF9C649F1}" cache="Slicer_Gender" caption="Gender" style="SlicerStyleLight6" rowHeight="234950"/>
  <slicer name="Membership" xr10:uid="{FFAA5F71-D791-4268-BE06-30BF866DD178}" cache="Slicer_Membership_Type" caption="Membership" style="SlicerStyleLight6" rowHeight="234950"/>
  <slicer name="City" xr10:uid="{A17C6F14-4CCC-48BC-9F88-A289D868D9AC}" cache="Slicer_City" caption="City" style="SlicerStyleLight6" rowHeight="234950"/>
  <slicer name="Referred" xr10:uid="{4FFFE71F-554E-496B-B656-F86C8C80A77D}" cache="Slicer_Referred" caption="Referred" style="SlicerStyleLight6"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4">
    <wetp:webextensionref xmlns:r="http://schemas.openxmlformats.org/officeDocument/2006/relationships" r:id="rId1"/>
  </wetp:taskpane>
  <wetp:taskpane dockstate="right" visibility="0" width="438" row="5">
    <wetp:webextensionref xmlns:r="http://schemas.openxmlformats.org/officeDocument/2006/relationships" r:id="rId2"/>
  </wetp:taskpane>
</wetp:taskpanes>
</file>

<file path=xl/webextensions/webextension1.xml><?xml version="1.0" encoding="utf-8"?>
<we:webextension xmlns:we="http://schemas.microsoft.com/office/webextensions/webextension/2010/11" id="{B6393124-D8C6-4CD7-8C06-CB4269969550}">
  <we:reference id="wa200005502" version="1.0.0.11" store="en-US" storeType="OMEX"/>
  <we:alternateReferences>
    <we:reference id="WA200005502" version="1.0.0.11" store="" storeType="OMEX"/>
  </we:alternateReferences>
  <we:properties>
    <we:property name="docId" value="&quot;fqXWDoOLNPnsNTNmSG7EF&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ebextensions/webextension2.xml><?xml version="1.0" encoding="utf-8"?>
<we:webextension xmlns:we="http://schemas.microsoft.com/office/webextensions/webextension/2010/11" id="{F48AC241-854D-4E0B-9E76-1FF104F08C4E}">
  <we:reference id="wa200005669" version="2.0.0.0" store="en-IN" storeType="OMEX"/>
  <we:alternateReferences>
    <we:reference id="WA200005669" version="2.0.0.0" store="WA200005669"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4" Type="http://schemas.openxmlformats.org/officeDocument/2006/relationships/pivotTable" Target="../pivotTables/pivotTable7.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8F9AC-6FF0-45AF-ABA8-D416F0B093CE}">
  <dimension ref="A3:B5"/>
  <sheetViews>
    <sheetView workbookViewId="0">
      <selection activeCell="B5" sqref="B5"/>
    </sheetView>
  </sheetViews>
  <sheetFormatPr defaultRowHeight="14.4" x14ac:dyDescent="0.3"/>
  <cols>
    <col min="1" max="1" width="10.44140625" bestFit="1" customWidth="1"/>
    <col min="2" max="2" width="22" bestFit="1" customWidth="1"/>
    <col min="3" max="4" width="18.77734375" bestFit="1" customWidth="1"/>
    <col min="5" max="5" width="20.88671875" bestFit="1" customWidth="1"/>
    <col min="6" max="6" width="23.5546875" bestFit="1" customWidth="1"/>
  </cols>
  <sheetData>
    <row r="3" spans="1:2" x14ac:dyDescent="0.3">
      <c r="A3" s="8" t="s">
        <v>108</v>
      </c>
      <c r="B3" t="s">
        <v>114</v>
      </c>
    </row>
    <row r="4" spans="1:2" x14ac:dyDescent="0.3">
      <c r="A4" s="9" t="s">
        <v>112</v>
      </c>
      <c r="B4">
        <v>1530</v>
      </c>
    </row>
    <row r="5" spans="1:2" x14ac:dyDescent="0.3">
      <c r="A5" s="9" t="s">
        <v>113</v>
      </c>
      <c r="B5">
        <v>1406.6666666666667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DC2182-FA7C-4C71-BB1E-C83A9FA38EAA}">
  <dimension ref="A2:F10"/>
  <sheetViews>
    <sheetView workbookViewId="0">
      <selection activeCell="F4" sqref="F4"/>
    </sheetView>
  </sheetViews>
  <sheetFormatPr defaultRowHeight="14.4" x14ac:dyDescent="0.3"/>
  <cols>
    <col min="1" max="1" width="19.109375" bestFit="1" customWidth="1"/>
    <col min="2" max="2" width="20.5546875" bestFit="1" customWidth="1"/>
    <col min="3" max="4" width="7.5546875" bestFit="1" customWidth="1"/>
    <col min="5" max="5" width="11" bestFit="1" customWidth="1"/>
    <col min="6" max="6" width="20.5546875" bestFit="1" customWidth="1"/>
    <col min="7" max="14" width="7.5546875" bestFit="1" customWidth="1"/>
    <col min="15" max="23" width="8.5546875" bestFit="1" customWidth="1"/>
    <col min="24" max="24" width="10.77734375" bestFit="1" customWidth="1"/>
  </cols>
  <sheetData>
    <row r="2" spans="1:6" x14ac:dyDescent="0.3">
      <c r="A2" s="16" t="s">
        <v>118</v>
      </c>
      <c r="B2" s="16"/>
      <c r="E2" s="16" t="s">
        <v>119</v>
      </c>
      <c r="F2" s="16"/>
    </row>
    <row r="3" spans="1:6" x14ac:dyDescent="0.3">
      <c r="A3" s="8" t="s">
        <v>117</v>
      </c>
      <c r="B3" t="s">
        <v>116</v>
      </c>
      <c r="E3" s="8" t="s">
        <v>120</v>
      </c>
      <c r="F3" t="s">
        <v>116</v>
      </c>
    </row>
    <row r="4" spans="1:6" x14ac:dyDescent="0.3">
      <c r="A4" s="9" t="s">
        <v>31</v>
      </c>
      <c r="B4" s="12">
        <v>80000</v>
      </c>
      <c r="E4" s="9" t="s">
        <v>14</v>
      </c>
      <c r="F4" s="12">
        <v>55300</v>
      </c>
    </row>
    <row r="5" spans="1:6" x14ac:dyDescent="0.3">
      <c r="A5" s="9" t="s">
        <v>41</v>
      </c>
      <c r="B5" s="12">
        <v>68400</v>
      </c>
      <c r="E5" s="9" t="s">
        <v>67</v>
      </c>
      <c r="F5" s="12">
        <v>52400</v>
      </c>
    </row>
    <row r="6" spans="1:6" x14ac:dyDescent="0.3">
      <c r="A6" s="9" t="s">
        <v>110</v>
      </c>
      <c r="B6" s="12">
        <v>148400</v>
      </c>
      <c r="E6" s="9" t="s">
        <v>23</v>
      </c>
      <c r="F6" s="12">
        <v>30100</v>
      </c>
    </row>
    <row r="7" spans="1:6" x14ac:dyDescent="0.3">
      <c r="E7" s="9" t="s">
        <v>42</v>
      </c>
      <c r="F7" s="12">
        <v>32900</v>
      </c>
    </row>
    <row r="8" spans="1:6" x14ac:dyDescent="0.3">
      <c r="E8" s="9" t="s">
        <v>35</v>
      </c>
      <c r="F8" s="12">
        <v>77700</v>
      </c>
    </row>
    <row r="9" spans="1:6" x14ac:dyDescent="0.3">
      <c r="E9" s="9" t="s">
        <v>18</v>
      </c>
      <c r="F9" s="12">
        <v>24000</v>
      </c>
    </row>
    <row r="10" spans="1:6" x14ac:dyDescent="0.3">
      <c r="E10" s="9" t="s">
        <v>110</v>
      </c>
      <c r="F10" s="12">
        <v>272400</v>
      </c>
    </row>
  </sheetData>
  <mergeCells count="2">
    <mergeCell ref="A2:B2"/>
    <mergeCell ref="E2:F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5B93A-8AD7-43C9-94E3-4255742BCB60}">
  <dimension ref="A3:I156"/>
  <sheetViews>
    <sheetView topLeftCell="A14" zoomScaleNormal="100" workbookViewId="0">
      <selection activeCell="C53" sqref="C53"/>
    </sheetView>
  </sheetViews>
  <sheetFormatPr defaultRowHeight="14.4" x14ac:dyDescent="0.3"/>
  <cols>
    <col min="1" max="1" width="12.77734375" bestFit="1" customWidth="1"/>
    <col min="2" max="2" width="20.5546875" bestFit="1" customWidth="1"/>
    <col min="3" max="3" width="25.109375" bestFit="1" customWidth="1"/>
    <col min="4" max="4" width="8.88671875" bestFit="1" customWidth="1"/>
    <col min="5" max="5" width="8.6640625" bestFit="1" customWidth="1"/>
    <col min="6" max="7" width="7.5546875" bestFit="1" customWidth="1"/>
    <col min="8" max="8" width="8.5546875" bestFit="1" customWidth="1"/>
    <col min="9" max="11" width="7.5546875" bestFit="1" customWidth="1"/>
    <col min="12" max="13" width="8.5546875" bestFit="1" customWidth="1"/>
    <col min="14" max="14" width="7.5546875" bestFit="1" customWidth="1"/>
    <col min="15" max="23" width="8.5546875" bestFit="1" customWidth="1"/>
    <col min="24" max="24" width="11" bestFit="1" customWidth="1"/>
  </cols>
  <sheetData>
    <row r="3" spans="1:9" x14ac:dyDescent="0.3">
      <c r="A3" s="8" t="s">
        <v>109</v>
      </c>
      <c r="B3" t="s">
        <v>116</v>
      </c>
    </row>
    <row r="4" spans="1:9" x14ac:dyDescent="0.3">
      <c r="A4" s="9" t="s">
        <v>14</v>
      </c>
      <c r="B4" s="12">
        <v>55300</v>
      </c>
    </row>
    <row r="5" spans="1:9" x14ac:dyDescent="0.3">
      <c r="A5" s="9" t="s">
        <v>67</v>
      </c>
      <c r="B5" s="12">
        <v>52400</v>
      </c>
    </row>
    <row r="6" spans="1:9" x14ac:dyDescent="0.3">
      <c r="A6" s="9" t="s">
        <v>23</v>
      </c>
      <c r="B6" s="12">
        <v>30100</v>
      </c>
    </row>
    <row r="7" spans="1:9" x14ac:dyDescent="0.3">
      <c r="A7" s="9" t="s">
        <v>42</v>
      </c>
      <c r="B7" s="12">
        <v>32900</v>
      </c>
    </row>
    <row r="8" spans="1:9" x14ac:dyDescent="0.3">
      <c r="A8" s="9" t="s">
        <v>35</v>
      </c>
      <c r="B8" s="12">
        <v>77700</v>
      </c>
    </row>
    <row r="9" spans="1:9" x14ac:dyDescent="0.3">
      <c r="A9" s="9" t="s">
        <v>18</v>
      </c>
      <c r="B9" s="12">
        <v>24000</v>
      </c>
    </row>
    <row r="10" spans="1:9" x14ac:dyDescent="0.3">
      <c r="A10" s="9" t="s">
        <v>110</v>
      </c>
      <c r="B10" s="12">
        <v>272400</v>
      </c>
    </row>
    <row r="14" spans="1:9" x14ac:dyDescent="0.3">
      <c r="B14" t="s">
        <v>116</v>
      </c>
    </row>
    <row r="15" spans="1:9" x14ac:dyDescent="0.3">
      <c r="A15" s="9" t="s">
        <v>13</v>
      </c>
      <c r="B15" s="12">
        <v>37600</v>
      </c>
    </row>
    <row r="16" spans="1:9" x14ac:dyDescent="0.3">
      <c r="A16" s="9" t="s">
        <v>31</v>
      </c>
      <c r="B16" s="12">
        <v>80000</v>
      </c>
      <c r="I16" t="e">
        <f>INDEX(A15:A18,MATCH(MAX(D15:D18),D15:D18,0))</f>
        <v>#N/A</v>
      </c>
    </row>
    <row r="17" spans="1:3" x14ac:dyDescent="0.3">
      <c r="A17" s="9" t="s">
        <v>41</v>
      </c>
      <c r="B17" s="12">
        <v>68400</v>
      </c>
    </row>
    <row r="18" spans="1:3" x14ac:dyDescent="0.3">
      <c r="A18" s="9" t="s">
        <v>22</v>
      </c>
      <c r="B18" s="12">
        <v>86400</v>
      </c>
    </row>
    <row r="19" spans="1:3" x14ac:dyDescent="0.3">
      <c r="A19" s="9" t="s">
        <v>110</v>
      </c>
      <c r="B19" s="12">
        <v>272400</v>
      </c>
    </row>
    <row r="21" spans="1:3" x14ac:dyDescent="0.3">
      <c r="A21" s="8" t="s">
        <v>109</v>
      </c>
      <c r="B21" t="s">
        <v>122</v>
      </c>
    </row>
    <row r="22" spans="1:3" x14ac:dyDescent="0.3">
      <c r="A22" s="9" t="s">
        <v>112</v>
      </c>
      <c r="B22" s="12">
        <v>8405</v>
      </c>
    </row>
    <row r="23" spans="1:3" x14ac:dyDescent="0.3">
      <c r="A23" s="9" t="s">
        <v>113</v>
      </c>
      <c r="B23" s="12">
        <v>6953.333333333333</v>
      </c>
    </row>
    <row r="24" spans="1:3" x14ac:dyDescent="0.3">
      <c r="A24" s="9" t="s">
        <v>110</v>
      </c>
      <c r="B24" s="12">
        <v>7782.8571428571431</v>
      </c>
    </row>
    <row r="26" spans="1:3" x14ac:dyDescent="0.3">
      <c r="A26" s="8" t="s">
        <v>109</v>
      </c>
      <c r="B26" t="s">
        <v>121</v>
      </c>
      <c r="C26" t="s">
        <v>122</v>
      </c>
    </row>
    <row r="27" spans="1:3" x14ac:dyDescent="0.3">
      <c r="A27" s="9" t="s">
        <v>14</v>
      </c>
      <c r="B27" s="17">
        <v>5</v>
      </c>
      <c r="C27" s="12">
        <v>11060</v>
      </c>
    </row>
    <row r="28" spans="1:3" x14ac:dyDescent="0.3">
      <c r="A28" s="13" t="s">
        <v>13</v>
      </c>
      <c r="B28" s="17">
        <v>1</v>
      </c>
      <c r="C28" s="12">
        <v>4800</v>
      </c>
    </row>
    <row r="29" spans="1:3" x14ac:dyDescent="0.3">
      <c r="A29" s="15" t="s">
        <v>113</v>
      </c>
      <c r="B29" s="17">
        <v>1</v>
      </c>
      <c r="C29" s="12">
        <v>4800</v>
      </c>
    </row>
    <row r="30" spans="1:3" x14ac:dyDescent="0.3">
      <c r="A30" s="13" t="s">
        <v>31</v>
      </c>
      <c r="B30" s="17">
        <v>1</v>
      </c>
      <c r="C30" s="12">
        <v>17500</v>
      </c>
    </row>
    <row r="31" spans="1:3" x14ac:dyDescent="0.3">
      <c r="A31" s="15" t="s">
        <v>113</v>
      </c>
      <c r="B31" s="17">
        <v>1</v>
      </c>
      <c r="C31" s="12">
        <v>17500</v>
      </c>
    </row>
    <row r="32" spans="1:3" x14ac:dyDescent="0.3">
      <c r="A32" s="13" t="s">
        <v>41</v>
      </c>
      <c r="B32" s="17">
        <v>1</v>
      </c>
      <c r="C32" s="12">
        <v>16200</v>
      </c>
    </row>
    <row r="33" spans="1:3" x14ac:dyDescent="0.3">
      <c r="A33" s="15" t="s">
        <v>112</v>
      </c>
      <c r="B33" s="17">
        <v>1</v>
      </c>
      <c r="C33" s="12">
        <v>16200</v>
      </c>
    </row>
    <row r="34" spans="1:3" x14ac:dyDescent="0.3">
      <c r="A34" s="13" t="s">
        <v>22</v>
      </c>
      <c r="B34" s="17">
        <v>2</v>
      </c>
      <c r="C34" s="12">
        <v>8400</v>
      </c>
    </row>
    <row r="35" spans="1:3" x14ac:dyDescent="0.3">
      <c r="A35" s="15" t="s">
        <v>112</v>
      </c>
      <c r="B35" s="17">
        <v>1</v>
      </c>
      <c r="C35" s="12">
        <v>10800</v>
      </c>
    </row>
    <row r="36" spans="1:3" x14ac:dyDescent="0.3">
      <c r="A36" s="15" t="s">
        <v>113</v>
      </c>
      <c r="B36" s="17">
        <v>1</v>
      </c>
      <c r="C36" s="12">
        <v>6000</v>
      </c>
    </row>
    <row r="37" spans="1:3" x14ac:dyDescent="0.3">
      <c r="A37" s="9" t="s">
        <v>67</v>
      </c>
      <c r="B37" s="17">
        <v>4</v>
      </c>
      <c r="C37" s="12">
        <v>13100</v>
      </c>
    </row>
    <row r="38" spans="1:3" x14ac:dyDescent="0.3">
      <c r="A38" s="13" t="s">
        <v>13</v>
      </c>
      <c r="B38" s="17">
        <v>1</v>
      </c>
      <c r="C38" s="12">
        <v>14400</v>
      </c>
    </row>
    <row r="39" spans="1:3" x14ac:dyDescent="0.3">
      <c r="A39" s="15" t="s">
        <v>113</v>
      </c>
      <c r="B39" s="17">
        <v>1</v>
      </c>
      <c r="C39" s="12">
        <v>14400</v>
      </c>
    </row>
    <row r="40" spans="1:3" x14ac:dyDescent="0.3">
      <c r="A40" s="13" t="s">
        <v>31</v>
      </c>
      <c r="B40" s="17">
        <v>1</v>
      </c>
      <c r="C40" s="12">
        <v>35000</v>
      </c>
    </row>
    <row r="41" spans="1:3" x14ac:dyDescent="0.3">
      <c r="A41" s="15" t="s">
        <v>112</v>
      </c>
      <c r="B41" s="17">
        <v>1</v>
      </c>
      <c r="C41" s="12">
        <v>35000</v>
      </c>
    </row>
    <row r="42" spans="1:3" x14ac:dyDescent="0.3">
      <c r="A42" s="13" t="s">
        <v>41</v>
      </c>
      <c r="B42" s="17">
        <v>1</v>
      </c>
      <c r="C42" s="12">
        <v>1800</v>
      </c>
    </row>
    <row r="43" spans="1:3" x14ac:dyDescent="0.3">
      <c r="A43" s="15" t="s">
        <v>112</v>
      </c>
      <c r="B43" s="17">
        <v>1</v>
      </c>
      <c r="C43" s="12">
        <v>1800</v>
      </c>
    </row>
    <row r="44" spans="1:3" x14ac:dyDescent="0.3">
      <c r="A44" s="13" t="s">
        <v>22</v>
      </c>
      <c r="B44" s="17">
        <v>1</v>
      </c>
      <c r="C44" s="12">
        <v>1200</v>
      </c>
    </row>
    <row r="45" spans="1:3" x14ac:dyDescent="0.3">
      <c r="A45" s="15" t="s">
        <v>112</v>
      </c>
      <c r="B45" s="17">
        <v>1</v>
      </c>
      <c r="C45" s="12">
        <v>1200</v>
      </c>
    </row>
    <row r="46" spans="1:3" x14ac:dyDescent="0.3">
      <c r="A46" s="9" t="s">
        <v>23</v>
      </c>
      <c r="B46" s="17">
        <v>5</v>
      </c>
      <c r="C46" s="12">
        <v>6020</v>
      </c>
    </row>
    <row r="47" spans="1:3" x14ac:dyDescent="0.3">
      <c r="A47" s="13" t="s">
        <v>13</v>
      </c>
      <c r="B47" s="17">
        <v>1</v>
      </c>
      <c r="C47" s="12">
        <v>4800</v>
      </c>
    </row>
    <row r="48" spans="1:3" x14ac:dyDescent="0.3">
      <c r="A48" s="15" t="s">
        <v>112</v>
      </c>
      <c r="B48" s="17">
        <v>1</v>
      </c>
      <c r="C48" s="12">
        <v>4800</v>
      </c>
    </row>
    <row r="49" spans="1:3" x14ac:dyDescent="0.3">
      <c r="A49" s="13" t="s">
        <v>31</v>
      </c>
      <c r="B49" s="17">
        <v>1</v>
      </c>
      <c r="C49" s="12">
        <v>2500</v>
      </c>
    </row>
    <row r="50" spans="1:3" x14ac:dyDescent="0.3">
      <c r="A50" s="15" t="s">
        <v>112</v>
      </c>
      <c r="B50" s="17">
        <v>1</v>
      </c>
      <c r="C50" s="12">
        <v>2500</v>
      </c>
    </row>
    <row r="51" spans="1:3" x14ac:dyDescent="0.3">
      <c r="A51" s="13" t="s">
        <v>22</v>
      </c>
      <c r="B51" s="17">
        <v>3</v>
      </c>
      <c r="C51" s="12">
        <v>7600</v>
      </c>
    </row>
    <row r="52" spans="1:3" x14ac:dyDescent="0.3">
      <c r="A52" s="15" t="s">
        <v>112</v>
      </c>
      <c r="B52" s="17">
        <v>1</v>
      </c>
      <c r="C52" s="12">
        <v>13200</v>
      </c>
    </row>
    <row r="53" spans="1:3" x14ac:dyDescent="0.3">
      <c r="A53" s="15" t="s">
        <v>113</v>
      </c>
      <c r="B53" s="17">
        <v>2</v>
      </c>
      <c r="C53" s="12">
        <v>4800</v>
      </c>
    </row>
    <row r="54" spans="1:3" x14ac:dyDescent="0.3">
      <c r="A54" s="9" t="s">
        <v>42</v>
      </c>
      <c r="B54" s="17">
        <v>6</v>
      </c>
      <c r="C54" s="12">
        <v>5483.333333333333</v>
      </c>
    </row>
    <row r="55" spans="1:3" x14ac:dyDescent="0.3">
      <c r="A55" s="13" t="s">
        <v>13</v>
      </c>
      <c r="B55" s="17">
        <v>1</v>
      </c>
      <c r="C55" s="12">
        <v>800</v>
      </c>
    </row>
    <row r="56" spans="1:3" x14ac:dyDescent="0.3">
      <c r="A56" s="15" t="s">
        <v>113</v>
      </c>
      <c r="B56" s="17">
        <v>1</v>
      </c>
      <c r="C56" s="12">
        <v>800</v>
      </c>
    </row>
    <row r="57" spans="1:3" x14ac:dyDescent="0.3">
      <c r="A57" s="13" t="s">
        <v>31</v>
      </c>
      <c r="B57" s="17">
        <v>2</v>
      </c>
      <c r="C57" s="12">
        <v>3750</v>
      </c>
    </row>
    <row r="58" spans="1:3" x14ac:dyDescent="0.3">
      <c r="A58" s="15" t="s">
        <v>112</v>
      </c>
      <c r="B58" s="17">
        <v>1</v>
      </c>
      <c r="C58" s="12">
        <v>2500</v>
      </c>
    </row>
    <row r="59" spans="1:3" x14ac:dyDescent="0.3">
      <c r="A59" s="15" t="s">
        <v>113</v>
      </c>
      <c r="B59" s="17">
        <v>1</v>
      </c>
      <c r="C59" s="12">
        <v>5000</v>
      </c>
    </row>
    <row r="60" spans="1:3" x14ac:dyDescent="0.3">
      <c r="A60" s="13" t="s">
        <v>41</v>
      </c>
      <c r="B60" s="17">
        <v>2</v>
      </c>
      <c r="C60" s="12">
        <v>4500</v>
      </c>
    </row>
    <row r="61" spans="1:3" x14ac:dyDescent="0.3">
      <c r="A61" s="15" t="s">
        <v>112</v>
      </c>
      <c r="B61" s="17">
        <v>2</v>
      </c>
      <c r="C61" s="12">
        <v>4500</v>
      </c>
    </row>
    <row r="62" spans="1:3" x14ac:dyDescent="0.3">
      <c r="A62" s="13" t="s">
        <v>22</v>
      </c>
      <c r="B62" s="17">
        <v>1</v>
      </c>
      <c r="C62" s="12">
        <v>15600</v>
      </c>
    </row>
    <row r="63" spans="1:3" x14ac:dyDescent="0.3">
      <c r="A63" s="15" t="s">
        <v>113</v>
      </c>
      <c r="B63" s="17">
        <v>1</v>
      </c>
      <c r="C63" s="12">
        <v>15600</v>
      </c>
    </row>
    <row r="64" spans="1:3" x14ac:dyDescent="0.3">
      <c r="A64" s="9" t="s">
        <v>35</v>
      </c>
      <c r="B64" s="17">
        <v>10</v>
      </c>
      <c r="C64" s="12">
        <v>7770</v>
      </c>
    </row>
    <row r="65" spans="1:3" x14ac:dyDescent="0.3">
      <c r="A65" s="13" t="s">
        <v>13</v>
      </c>
      <c r="B65" s="17">
        <v>3</v>
      </c>
      <c r="C65" s="12">
        <v>3466.6666666666665</v>
      </c>
    </row>
    <row r="66" spans="1:3" x14ac:dyDescent="0.3">
      <c r="A66" s="15" t="s">
        <v>112</v>
      </c>
      <c r="B66" s="17">
        <v>2</v>
      </c>
      <c r="C66" s="12">
        <v>4400</v>
      </c>
    </row>
    <row r="67" spans="1:3" x14ac:dyDescent="0.3">
      <c r="A67" s="15" t="s">
        <v>113</v>
      </c>
      <c r="B67" s="17">
        <v>1</v>
      </c>
      <c r="C67" s="12">
        <v>1600</v>
      </c>
    </row>
    <row r="68" spans="1:3" x14ac:dyDescent="0.3">
      <c r="A68" s="13" t="s">
        <v>31</v>
      </c>
      <c r="B68" s="17">
        <v>2</v>
      </c>
      <c r="C68" s="12">
        <v>8750</v>
      </c>
    </row>
    <row r="69" spans="1:3" x14ac:dyDescent="0.3">
      <c r="A69" s="15" t="s">
        <v>112</v>
      </c>
      <c r="B69" s="17">
        <v>1</v>
      </c>
      <c r="C69" s="12">
        <v>2500</v>
      </c>
    </row>
    <row r="70" spans="1:3" x14ac:dyDescent="0.3">
      <c r="A70" s="15" t="s">
        <v>113</v>
      </c>
      <c r="B70" s="17">
        <v>1</v>
      </c>
      <c r="C70" s="12">
        <v>15000</v>
      </c>
    </row>
    <row r="71" spans="1:3" x14ac:dyDescent="0.3">
      <c r="A71" s="13" t="s">
        <v>41</v>
      </c>
      <c r="B71" s="17">
        <v>2</v>
      </c>
      <c r="C71" s="12">
        <v>17100</v>
      </c>
    </row>
    <row r="72" spans="1:3" x14ac:dyDescent="0.3">
      <c r="A72" s="15" t="s">
        <v>112</v>
      </c>
      <c r="B72" s="17">
        <v>1</v>
      </c>
      <c r="C72" s="12">
        <v>30600</v>
      </c>
    </row>
    <row r="73" spans="1:3" x14ac:dyDescent="0.3">
      <c r="A73" s="15" t="s">
        <v>113</v>
      </c>
      <c r="B73" s="17">
        <v>1</v>
      </c>
      <c r="C73" s="12">
        <v>3600</v>
      </c>
    </row>
    <row r="74" spans="1:3" x14ac:dyDescent="0.3">
      <c r="A74" s="13" t="s">
        <v>22</v>
      </c>
      <c r="B74" s="17">
        <v>3</v>
      </c>
      <c r="C74" s="12">
        <v>5200</v>
      </c>
    </row>
    <row r="75" spans="1:3" x14ac:dyDescent="0.3">
      <c r="A75" s="15" t="s">
        <v>112</v>
      </c>
      <c r="B75" s="17">
        <v>2</v>
      </c>
      <c r="C75" s="12">
        <v>6600</v>
      </c>
    </row>
    <row r="76" spans="1:3" x14ac:dyDescent="0.3">
      <c r="A76" s="15" t="s">
        <v>113</v>
      </c>
      <c r="B76" s="17">
        <v>1</v>
      </c>
      <c r="C76" s="12">
        <v>2400</v>
      </c>
    </row>
    <row r="77" spans="1:3" x14ac:dyDescent="0.3">
      <c r="A77" s="9" t="s">
        <v>18</v>
      </c>
      <c r="B77" s="17">
        <v>5</v>
      </c>
      <c r="C77" s="12">
        <v>4800</v>
      </c>
    </row>
    <row r="78" spans="1:3" x14ac:dyDescent="0.3">
      <c r="A78" s="13" t="s">
        <v>13</v>
      </c>
      <c r="B78" s="17">
        <v>2</v>
      </c>
      <c r="C78" s="12">
        <v>1200</v>
      </c>
    </row>
    <row r="79" spans="1:3" x14ac:dyDescent="0.3">
      <c r="A79" s="15" t="s">
        <v>112</v>
      </c>
      <c r="B79" s="17">
        <v>1</v>
      </c>
      <c r="C79" s="12">
        <v>1600</v>
      </c>
    </row>
    <row r="80" spans="1:3" x14ac:dyDescent="0.3">
      <c r="A80" s="15" t="s">
        <v>113</v>
      </c>
      <c r="B80" s="17">
        <v>1</v>
      </c>
      <c r="C80" s="12">
        <v>800</v>
      </c>
    </row>
    <row r="81" spans="1:3" x14ac:dyDescent="0.3">
      <c r="A81" s="13" t="s">
        <v>41</v>
      </c>
      <c r="B81" s="17">
        <v>1</v>
      </c>
      <c r="C81" s="12">
        <v>7200</v>
      </c>
    </row>
    <row r="82" spans="1:3" x14ac:dyDescent="0.3">
      <c r="A82" s="15" t="s">
        <v>113</v>
      </c>
      <c r="B82" s="17">
        <v>1</v>
      </c>
      <c r="C82" s="12">
        <v>7200</v>
      </c>
    </row>
    <row r="83" spans="1:3" x14ac:dyDescent="0.3">
      <c r="A83" s="13" t="s">
        <v>22</v>
      </c>
      <c r="B83" s="17">
        <v>2</v>
      </c>
      <c r="C83" s="12">
        <v>7200</v>
      </c>
    </row>
    <row r="84" spans="1:3" x14ac:dyDescent="0.3">
      <c r="A84" s="15" t="s">
        <v>112</v>
      </c>
      <c r="B84" s="17">
        <v>2</v>
      </c>
      <c r="C84" s="12">
        <v>7200</v>
      </c>
    </row>
    <row r="85" spans="1:3" x14ac:dyDescent="0.3">
      <c r="A85" s="9" t="s">
        <v>110</v>
      </c>
      <c r="B85" s="17">
        <v>35</v>
      </c>
      <c r="C85" s="12">
        <v>7782.8571428571431</v>
      </c>
    </row>
    <row r="87" spans="1:3" x14ac:dyDescent="0.3">
      <c r="A87" s="8" t="s">
        <v>109</v>
      </c>
      <c r="B87" t="s">
        <v>116</v>
      </c>
      <c r="C87" t="s">
        <v>122</v>
      </c>
    </row>
    <row r="88" spans="1:3" x14ac:dyDescent="0.3">
      <c r="A88" s="9" t="s">
        <v>14</v>
      </c>
      <c r="B88" s="12">
        <v>55300</v>
      </c>
      <c r="C88" s="12">
        <v>11060</v>
      </c>
    </row>
    <row r="89" spans="1:3" x14ac:dyDescent="0.3">
      <c r="A89" s="9" t="s">
        <v>67</v>
      </c>
      <c r="B89" s="12">
        <v>52400</v>
      </c>
      <c r="C89" s="12">
        <v>13100</v>
      </c>
    </row>
    <row r="90" spans="1:3" x14ac:dyDescent="0.3">
      <c r="A90" s="9" t="s">
        <v>23</v>
      </c>
      <c r="B90" s="12">
        <v>30100</v>
      </c>
      <c r="C90" s="12">
        <v>6020</v>
      </c>
    </row>
    <row r="91" spans="1:3" x14ac:dyDescent="0.3">
      <c r="A91" s="9" t="s">
        <v>42</v>
      </c>
      <c r="B91" s="12">
        <v>32900</v>
      </c>
      <c r="C91" s="12">
        <v>5483.333333333333</v>
      </c>
    </row>
    <row r="92" spans="1:3" x14ac:dyDescent="0.3">
      <c r="A92" s="9" t="s">
        <v>35</v>
      </c>
      <c r="B92" s="12">
        <v>77700</v>
      </c>
      <c r="C92" s="12">
        <v>7770</v>
      </c>
    </row>
    <row r="93" spans="1:3" x14ac:dyDescent="0.3">
      <c r="A93" s="9" t="s">
        <v>18</v>
      </c>
      <c r="B93" s="12">
        <v>24000</v>
      </c>
      <c r="C93" s="12">
        <v>4800</v>
      </c>
    </row>
    <row r="97" spans="1:3" x14ac:dyDescent="0.3">
      <c r="A97" s="8" t="s">
        <v>109</v>
      </c>
      <c r="B97" t="s">
        <v>116</v>
      </c>
      <c r="C97" t="s">
        <v>123</v>
      </c>
    </row>
    <row r="98" spans="1:3" x14ac:dyDescent="0.3">
      <c r="A98" s="9" t="s">
        <v>14</v>
      </c>
      <c r="B98" s="12">
        <v>55300</v>
      </c>
      <c r="C98" s="12">
        <v>55300</v>
      </c>
    </row>
    <row r="99" spans="1:3" x14ac:dyDescent="0.3">
      <c r="A99" s="13" t="s">
        <v>13</v>
      </c>
      <c r="B99" s="12">
        <v>4800</v>
      </c>
      <c r="C99" s="12">
        <v>4800</v>
      </c>
    </row>
    <row r="100" spans="1:3" x14ac:dyDescent="0.3">
      <c r="A100" s="15" t="s">
        <v>113</v>
      </c>
      <c r="B100" s="12">
        <v>4800</v>
      </c>
      <c r="C100" s="12">
        <v>4800</v>
      </c>
    </row>
    <row r="101" spans="1:3" x14ac:dyDescent="0.3">
      <c r="A101" s="13" t="s">
        <v>31</v>
      </c>
      <c r="B101" s="12">
        <v>17500</v>
      </c>
      <c r="C101" s="12">
        <v>17500</v>
      </c>
    </row>
    <row r="102" spans="1:3" x14ac:dyDescent="0.3">
      <c r="A102" s="15" t="s">
        <v>113</v>
      </c>
      <c r="B102" s="12">
        <v>17500</v>
      </c>
      <c r="C102" s="12">
        <v>17500</v>
      </c>
    </row>
    <row r="103" spans="1:3" x14ac:dyDescent="0.3">
      <c r="A103" s="13" t="s">
        <v>41</v>
      </c>
      <c r="B103" s="12">
        <v>16200</v>
      </c>
      <c r="C103" s="12">
        <v>16200</v>
      </c>
    </row>
    <row r="104" spans="1:3" x14ac:dyDescent="0.3">
      <c r="A104" s="15" t="s">
        <v>112</v>
      </c>
      <c r="B104" s="12">
        <v>16200</v>
      </c>
      <c r="C104" s="12">
        <v>16200</v>
      </c>
    </row>
    <row r="105" spans="1:3" x14ac:dyDescent="0.3">
      <c r="A105" s="13" t="s">
        <v>22</v>
      </c>
      <c r="B105" s="12">
        <v>16800</v>
      </c>
      <c r="C105" s="12">
        <v>16800</v>
      </c>
    </row>
    <row r="106" spans="1:3" x14ac:dyDescent="0.3">
      <c r="A106" s="15" t="s">
        <v>112</v>
      </c>
      <c r="B106" s="12">
        <v>10800</v>
      </c>
      <c r="C106" s="12">
        <v>10800</v>
      </c>
    </row>
    <row r="107" spans="1:3" x14ac:dyDescent="0.3">
      <c r="A107" s="15" t="s">
        <v>113</v>
      </c>
      <c r="B107" s="12">
        <v>6000</v>
      </c>
      <c r="C107" s="12">
        <v>6000</v>
      </c>
    </row>
    <row r="108" spans="1:3" x14ac:dyDescent="0.3">
      <c r="A108" s="9" t="s">
        <v>67</v>
      </c>
      <c r="B108" s="12">
        <v>52400</v>
      </c>
      <c r="C108" s="12">
        <v>52400</v>
      </c>
    </row>
    <row r="109" spans="1:3" x14ac:dyDescent="0.3">
      <c r="A109" s="13" t="s">
        <v>13</v>
      </c>
      <c r="B109" s="12">
        <v>14400</v>
      </c>
      <c r="C109" s="12">
        <v>14400</v>
      </c>
    </row>
    <row r="110" spans="1:3" x14ac:dyDescent="0.3">
      <c r="A110" s="15" t="s">
        <v>113</v>
      </c>
      <c r="B110" s="12">
        <v>14400</v>
      </c>
      <c r="C110" s="12">
        <v>14400</v>
      </c>
    </row>
    <row r="111" spans="1:3" x14ac:dyDescent="0.3">
      <c r="A111" s="13" t="s">
        <v>31</v>
      </c>
      <c r="B111" s="12">
        <v>35000</v>
      </c>
      <c r="C111" s="12">
        <v>35000</v>
      </c>
    </row>
    <row r="112" spans="1:3" x14ac:dyDescent="0.3">
      <c r="A112" s="15" t="s">
        <v>112</v>
      </c>
      <c r="B112" s="12">
        <v>35000</v>
      </c>
      <c r="C112" s="12">
        <v>35000</v>
      </c>
    </row>
    <row r="113" spans="1:3" x14ac:dyDescent="0.3">
      <c r="A113" s="13" t="s">
        <v>41</v>
      </c>
      <c r="B113" s="12">
        <v>1800</v>
      </c>
      <c r="C113" s="12">
        <v>1800</v>
      </c>
    </row>
    <row r="114" spans="1:3" x14ac:dyDescent="0.3">
      <c r="A114" s="15" t="s">
        <v>112</v>
      </c>
      <c r="B114" s="12">
        <v>1800</v>
      </c>
      <c r="C114" s="12">
        <v>1800</v>
      </c>
    </row>
    <row r="115" spans="1:3" x14ac:dyDescent="0.3">
      <c r="A115" s="13" t="s">
        <v>22</v>
      </c>
      <c r="B115" s="12">
        <v>1200</v>
      </c>
      <c r="C115" s="12">
        <v>1200</v>
      </c>
    </row>
    <row r="116" spans="1:3" x14ac:dyDescent="0.3">
      <c r="A116" s="15" t="s">
        <v>112</v>
      </c>
      <c r="B116" s="12">
        <v>1200</v>
      </c>
      <c r="C116" s="12">
        <v>1200</v>
      </c>
    </row>
    <row r="117" spans="1:3" x14ac:dyDescent="0.3">
      <c r="A117" s="9" t="s">
        <v>23</v>
      </c>
      <c r="B117" s="12">
        <v>30100</v>
      </c>
      <c r="C117" s="12">
        <v>30100</v>
      </c>
    </row>
    <row r="118" spans="1:3" x14ac:dyDescent="0.3">
      <c r="A118" s="13" t="s">
        <v>13</v>
      </c>
      <c r="B118" s="12">
        <v>4800</v>
      </c>
      <c r="C118" s="12">
        <v>4800</v>
      </c>
    </row>
    <row r="119" spans="1:3" x14ac:dyDescent="0.3">
      <c r="A119" s="15" t="s">
        <v>112</v>
      </c>
      <c r="B119" s="12">
        <v>4800</v>
      </c>
      <c r="C119" s="12">
        <v>4800</v>
      </c>
    </row>
    <row r="120" spans="1:3" x14ac:dyDescent="0.3">
      <c r="A120" s="13" t="s">
        <v>31</v>
      </c>
      <c r="B120" s="12">
        <v>2500</v>
      </c>
      <c r="C120" s="12">
        <v>2500</v>
      </c>
    </row>
    <row r="121" spans="1:3" x14ac:dyDescent="0.3">
      <c r="A121" s="15" t="s">
        <v>112</v>
      </c>
      <c r="B121" s="12">
        <v>2500</v>
      </c>
      <c r="C121" s="12">
        <v>2500</v>
      </c>
    </row>
    <row r="122" spans="1:3" x14ac:dyDescent="0.3">
      <c r="A122" s="13" t="s">
        <v>22</v>
      </c>
      <c r="B122" s="12">
        <v>22800</v>
      </c>
      <c r="C122" s="12">
        <v>22800</v>
      </c>
    </row>
    <row r="123" spans="1:3" x14ac:dyDescent="0.3">
      <c r="A123" s="15" t="s">
        <v>112</v>
      </c>
      <c r="B123" s="12">
        <v>13200</v>
      </c>
      <c r="C123" s="12">
        <v>13200</v>
      </c>
    </row>
    <row r="124" spans="1:3" x14ac:dyDescent="0.3">
      <c r="A124" s="15" t="s">
        <v>113</v>
      </c>
      <c r="B124" s="12">
        <v>9600</v>
      </c>
      <c r="C124" s="12">
        <v>9600</v>
      </c>
    </row>
    <row r="125" spans="1:3" x14ac:dyDescent="0.3">
      <c r="A125" s="9" t="s">
        <v>42</v>
      </c>
      <c r="B125" s="12">
        <v>32900</v>
      </c>
      <c r="C125" s="12">
        <v>32900</v>
      </c>
    </row>
    <row r="126" spans="1:3" x14ac:dyDescent="0.3">
      <c r="A126" s="13" t="s">
        <v>13</v>
      </c>
      <c r="B126" s="12">
        <v>800</v>
      </c>
      <c r="C126" s="12">
        <v>800</v>
      </c>
    </row>
    <row r="127" spans="1:3" x14ac:dyDescent="0.3">
      <c r="A127" s="15" t="s">
        <v>113</v>
      </c>
      <c r="B127" s="12">
        <v>800</v>
      </c>
      <c r="C127" s="12">
        <v>800</v>
      </c>
    </row>
    <row r="128" spans="1:3" x14ac:dyDescent="0.3">
      <c r="A128" s="13" t="s">
        <v>31</v>
      </c>
      <c r="B128" s="12">
        <v>7500</v>
      </c>
      <c r="C128" s="12">
        <v>7500</v>
      </c>
    </row>
    <row r="129" spans="1:3" x14ac:dyDescent="0.3">
      <c r="A129" s="15" t="s">
        <v>112</v>
      </c>
      <c r="B129" s="12">
        <v>2500</v>
      </c>
      <c r="C129" s="12">
        <v>2500</v>
      </c>
    </row>
    <row r="130" spans="1:3" x14ac:dyDescent="0.3">
      <c r="A130" s="15" t="s">
        <v>113</v>
      </c>
      <c r="B130" s="12">
        <v>5000</v>
      </c>
      <c r="C130" s="12">
        <v>5000</v>
      </c>
    </row>
    <row r="131" spans="1:3" x14ac:dyDescent="0.3">
      <c r="A131" s="13" t="s">
        <v>41</v>
      </c>
      <c r="B131" s="12">
        <v>9000</v>
      </c>
      <c r="C131" s="12">
        <v>9000</v>
      </c>
    </row>
    <row r="132" spans="1:3" x14ac:dyDescent="0.3">
      <c r="A132" s="15" t="s">
        <v>112</v>
      </c>
      <c r="B132" s="12">
        <v>9000</v>
      </c>
      <c r="C132" s="12">
        <v>9000</v>
      </c>
    </row>
    <row r="133" spans="1:3" x14ac:dyDescent="0.3">
      <c r="A133" s="13" t="s">
        <v>22</v>
      </c>
      <c r="B133" s="12">
        <v>15600</v>
      </c>
      <c r="C133" s="12">
        <v>15600</v>
      </c>
    </row>
    <row r="134" spans="1:3" x14ac:dyDescent="0.3">
      <c r="A134" s="15" t="s">
        <v>113</v>
      </c>
      <c r="B134" s="12">
        <v>15600</v>
      </c>
      <c r="C134" s="12">
        <v>15600</v>
      </c>
    </row>
    <row r="135" spans="1:3" x14ac:dyDescent="0.3">
      <c r="A135" s="9" t="s">
        <v>35</v>
      </c>
      <c r="B135" s="12">
        <v>77700</v>
      </c>
      <c r="C135" s="12">
        <v>77700</v>
      </c>
    </row>
    <row r="136" spans="1:3" x14ac:dyDescent="0.3">
      <c r="A136" s="13" t="s">
        <v>13</v>
      </c>
      <c r="B136" s="12">
        <v>10400</v>
      </c>
      <c r="C136" s="12">
        <v>10400</v>
      </c>
    </row>
    <row r="137" spans="1:3" x14ac:dyDescent="0.3">
      <c r="A137" s="15" t="s">
        <v>112</v>
      </c>
      <c r="B137" s="12">
        <v>8800</v>
      </c>
      <c r="C137" s="12">
        <v>8800</v>
      </c>
    </row>
    <row r="138" spans="1:3" x14ac:dyDescent="0.3">
      <c r="A138" s="15" t="s">
        <v>113</v>
      </c>
      <c r="B138" s="12">
        <v>1600</v>
      </c>
      <c r="C138" s="12">
        <v>1600</v>
      </c>
    </row>
    <row r="139" spans="1:3" x14ac:dyDescent="0.3">
      <c r="A139" s="13" t="s">
        <v>31</v>
      </c>
      <c r="B139" s="12">
        <v>17500</v>
      </c>
      <c r="C139" s="12">
        <v>17500</v>
      </c>
    </row>
    <row r="140" spans="1:3" x14ac:dyDescent="0.3">
      <c r="A140" s="15" t="s">
        <v>112</v>
      </c>
      <c r="B140" s="12">
        <v>2500</v>
      </c>
      <c r="C140" s="12">
        <v>2500</v>
      </c>
    </row>
    <row r="141" spans="1:3" x14ac:dyDescent="0.3">
      <c r="A141" s="15" t="s">
        <v>113</v>
      </c>
      <c r="B141" s="12">
        <v>15000</v>
      </c>
      <c r="C141" s="12">
        <v>15000</v>
      </c>
    </row>
    <row r="142" spans="1:3" x14ac:dyDescent="0.3">
      <c r="A142" s="13" t="s">
        <v>41</v>
      </c>
      <c r="B142" s="12">
        <v>34200</v>
      </c>
      <c r="C142" s="12">
        <v>34200</v>
      </c>
    </row>
    <row r="143" spans="1:3" x14ac:dyDescent="0.3">
      <c r="A143" s="15" t="s">
        <v>112</v>
      </c>
      <c r="B143" s="12">
        <v>30600</v>
      </c>
      <c r="C143" s="12">
        <v>30600</v>
      </c>
    </row>
    <row r="144" spans="1:3" x14ac:dyDescent="0.3">
      <c r="A144" s="15" t="s">
        <v>113</v>
      </c>
      <c r="B144" s="12">
        <v>3600</v>
      </c>
      <c r="C144" s="12">
        <v>3600</v>
      </c>
    </row>
    <row r="145" spans="1:3" x14ac:dyDescent="0.3">
      <c r="A145" s="13" t="s">
        <v>22</v>
      </c>
      <c r="B145" s="12">
        <v>15600</v>
      </c>
      <c r="C145" s="12">
        <v>15600</v>
      </c>
    </row>
    <row r="146" spans="1:3" x14ac:dyDescent="0.3">
      <c r="A146" s="15" t="s">
        <v>112</v>
      </c>
      <c r="B146" s="12">
        <v>13200</v>
      </c>
      <c r="C146" s="12">
        <v>13200</v>
      </c>
    </row>
    <row r="147" spans="1:3" x14ac:dyDescent="0.3">
      <c r="A147" s="15" t="s">
        <v>113</v>
      </c>
      <c r="B147" s="12">
        <v>2400</v>
      </c>
      <c r="C147" s="12">
        <v>2400</v>
      </c>
    </row>
    <row r="148" spans="1:3" x14ac:dyDescent="0.3">
      <c r="A148" s="9" t="s">
        <v>18</v>
      </c>
      <c r="B148" s="12">
        <v>24000</v>
      </c>
      <c r="C148" s="12">
        <v>24000</v>
      </c>
    </row>
    <row r="149" spans="1:3" x14ac:dyDescent="0.3">
      <c r="A149" s="13" t="s">
        <v>13</v>
      </c>
      <c r="B149" s="12">
        <v>2400</v>
      </c>
      <c r="C149" s="12">
        <v>2400</v>
      </c>
    </row>
    <row r="150" spans="1:3" x14ac:dyDescent="0.3">
      <c r="A150" s="15" t="s">
        <v>112</v>
      </c>
      <c r="B150" s="12">
        <v>1600</v>
      </c>
      <c r="C150" s="12">
        <v>1600</v>
      </c>
    </row>
    <row r="151" spans="1:3" x14ac:dyDescent="0.3">
      <c r="A151" s="15" t="s">
        <v>113</v>
      </c>
      <c r="B151" s="12">
        <v>800</v>
      </c>
      <c r="C151" s="12">
        <v>800</v>
      </c>
    </row>
    <row r="152" spans="1:3" x14ac:dyDescent="0.3">
      <c r="A152" s="13" t="s">
        <v>41</v>
      </c>
      <c r="B152" s="12">
        <v>7200</v>
      </c>
      <c r="C152" s="12">
        <v>7200</v>
      </c>
    </row>
    <row r="153" spans="1:3" x14ac:dyDescent="0.3">
      <c r="A153" s="15" t="s">
        <v>113</v>
      </c>
      <c r="B153" s="12">
        <v>7200</v>
      </c>
      <c r="C153" s="12">
        <v>7200</v>
      </c>
    </row>
    <row r="154" spans="1:3" x14ac:dyDescent="0.3">
      <c r="A154" s="13" t="s">
        <v>22</v>
      </c>
      <c r="B154" s="12">
        <v>14400</v>
      </c>
      <c r="C154" s="12">
        <v>14400</v>
      </c>
    </row>
    <row r="155" spans="1:3" x14ac:dyDescent="0.3">
      <c r="A155" s="15" t="s">
        <v>112</v>
      </c>
      <c r="B155" s="12">
        <v>14400</v>
      </c>
      <c r="C155" s="12">
        <v>14400</v>
      </c>
    </row>
    <row r="156" spans="1:3" x14ac:dyDescent="0.3">
      <c r="A156" s="9" t="s">
        <v>110</v>
      </c>
      <c r="B156" s="12">
        <v>272400</v>
      </c>
      <c r="C156" s="12">
        <v>272400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177F2-7318-4443-9476-CFDAB2431EE5}">
  <dimension ref="A1"/>
  <sheetViews>
    <sheetView zoomScaleNormal="100" workbookViewId="0">
      <selection activeCell="I56" sqref="I56"/>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F0F28-4996-449B-8E46-D244822FA6E7}">
  <dimension ref="B2:H9"/>
  <sheetViews>
    <sheetView tabSelected="1" workbookViewId="0">
      <selection activeCell="E19" sqref="E19"/>
    </sheetView>
  </sheetViews>
  <sheetFormatPr defaultRowHeight="14.4" x14ac:dyDescent="0.3"/>
  <cols>
    <col min="2" max="2" width="15.44140625" bestFit="1" customWidth="1"/>
    <col min="3" max="3" width="15.77734375" bestFit="1" customWidth="1"/>
    <col min="4" max="4" width="5.44140625" bestFit="1" customWidth="1"/>
    <col min="5" max="5" width="11" bestFit="1" customWidth="1"/>
    <col min="6" max="6" width="18.33203125" bestFit="1" customWidth="1"/>
    <col min="7" max="7" width="15.77734375" bestFit="1" customWidth="1"/>
    <col min="8" max="8" width="6.109375" bestFit="1" customWidth="1"/>
  </cols>
  <sheetData>
    <row r="2" spans="2:8" x14ac:dyDescent="0.3">
      <c r="B2" s="19" t="s">
        <v>124</v>
      </c>
      <c r="C2" s="19" t="s">
        <v>111</v>
      </c>
      <c r="D2" s="7"/>
      <c r="F2" s="19" t="s">
        <v>128</v>
      </c>
      <c r="G2" s="19" t="s">
        <v>111</v>
      </c>
      <c r="H2" s="7"/>
    </row>
    <row r="3" spans="2:8" x14ac:dyDescent="0.3">
      <c r="B3" s="19" t="s">
        <v>109</v>
      </c>
      <c r="C3" s="7" t="s">
        <v>27</v>
      </c>
      <c r="D3" s="7" t="s">
        <v>12</v>
      </c>
      <c r="F3" s="19" t="s">
        <v>109</v>
      </c>
      <c r="G3" s="7" t="s">
        <v>126</v>
      </c>
      <c r="H3" s="7" t="s">
        <v>127</v>
      </c>
    </row>
    <row r="4" spans="2:8" x14ac:dyDescent="0.3">
      <c r="B4" s="20" t="s">
        <v>14</v>
      </c>
      <c r="C4" s="21">
        <v>3</v>
      </c>
      <c r="D4" s="21">
        <v>2</v>
      </c>
      <c r="F4" s="20" t="s">
        <v>13</v>
      </c>
      <c r="G4" s="21">
        <v>6</v>
      </c>
      <c r="H4" s="21">
        <v>3</v>
      </c>
    </row>
    <row r="5" spans="2:8" x14ac:dyDescent="0.3">
      <c r="B5" s="20" t="s">
        <v>67</v>
      </c>
      <c r="C5" s="21">
        <v>3</v>
      </c>
      <c r="D5" s="21">
        <v>1</v>
      </c>
      <c r="F5" s="20" t="s">
        <v>31</v>
      </c>
      <c r="G5" s="21">
        <v>3</v>
      </c>
      <c r="H5" s="21">
        <v>4</v>
      </c>
    </row>
    <row r="6" spans="2:8" x14ac:dyDescent="0.3">
      <c r="B6" s="20" t="s">
        <v>23</v>
      </c>
      <c r="C6" s="21">
        <v>3</v>
      </c>
      <c r="D6" s="21">
        <v>2</v>
      </c>
      <c r="F6" s="20" t="s">
        <v>41</v>
      </c>
      <c r="G6" s="21">
        <v>5</v>
      </c>
      <c r="H6" s="21">
        <v>2</v>
      </c>
    </row>
    <row r="7" spans="2:8" x14ac:dyDescent="0.3">
      <c r="B7" s="20" t="s">
        <v>42</v>
      </c>
      <c r="C7" s="21">
        <v>2</v>
      </c>
      <c r="D7" s="21">
        <v>4</v>
      </c>
      <c r="F7" s="20" t="s">
        <v>22</v>
      </c>
      <c r="G7" s="21">
        <v>8</v>
      </c>
      <c r="H7" s="21">
        <v>4</v>
      </c>
    </row>
    <row r="8" spans="2:8" x14ac:dyDescent="0.3">
      <c r="B8" s="20" t="s">
        <v>35</v>
      </c>
      <c r="C8" s="21">
        <v>2</v>
      </c>
      <c r="D8" s="21">
        <v>8</v>
      </c>
    </row>
    <row r="9" spans="2:8" x14ac:dyDescent="0.3">
      <c r="B9" s="20" t="s">
        <v>18</v>
      </c>
      <c r="C9" s="21">
        <v>2</v>
      </c>
      <c r="D9" s="21">
        <v>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054D7-9E44-4AC1-B1E5-079A45F04F25}">
  <dimension ref="A1:O36"/>
  <sheetViews>
    <sheetView workbookViewId="0">
      <selection activeCell="O1" sqref="O1"/>
    </sheetView>
  </sheetViews>
  <sheetFormatPr defaultRowHeight="14.4" x14ac:dyDescent="0.3"/>
  <cols>
    <col min="1" max="1" width="5.6640625" bestFit="1" customWidth="1"/>
    <col min="2" max="2" width="14.88671875" bestFit="1" customWidth="1"/>
    <col min="3" max="3" width="4.21875" bestFit="1" customWidth="1"/>
    <col min="4" max="4" width="7.109375" bestFit="1" customWidth="1"/>
    <col min="5" max="5" width="16.88671875" bestFit="1" customWidth="1"/>
    <col min="6" max="6" width="13.5546875" customWidth="1"/>
    <col min="7" max="7" width="15.5546875" customWidth="1"/>
    <col min="8" max="8" width="12.109375" bestFit="1" customWidth="1"/>
    <col min="9" max="9" width="10.77734375" bestFit="1" customWidth="1"/>
    <col min="10" max="10" width="9.77734375" bestFit="1" customWidth="1"/>
    <col min="11" max="11" width="17.5546875" bestFit="1" customWidth="1"/>
    <col min="12" max="12" width="30.21875" customWidth="1"/>
    <col min="14" max="14" width="13.6640625" bestFit="1" customWidth="1"/>
    <col min="15" max="15" width="10.21875" bestFit="1" customWidth="1"/>
  </cols>
  <sheetData>
    <row r="1" spans="1:15" ht="16.05" customHeight="1" x14ac:dyDescent="0.3">
      <c r="A1" s="7"/>
      <c r="B1" s="1" t="s">
        <v>0</v>
      </c>
      <c r="C1" s="14" t="s">
        <v>1</v>
      </c>
      <c r="D1" s="14" t="s">
        <v>2</v>
      </c>
      <c r="E1" s="2" t="s">
        <v>3</v>
      </c>
      <c r="F1" s="2" t="s">
        <v>4</v>
      </c>
      <c r="G1" s="2" t="s">
        <v>5</v>
      </c>
      <c r="H1" s="2" t="s">
        <v>6</v>
      </c>
      <c r="I1" s="2" t="s">
        <v>7</v>
      </c>
      <c r="J1" s="2" t="s">
        <v>8</v>
      </c>
      <c r="K1" s="1" t="s">
        <v>9</v>
      </c>
      <c r="L1" s="1" t="s">
        <v>107</v>
      </c>
      <c r="M1" s="1" t="s">
        <v>108</v>
      </c>
      <c r="N1" s="1" t="s">
        <v>115</v>
      </c>
      <c r="O1" s="18" t="s">
        <v>125</v>
      </c>
    </row>
    <row r="2" spans="1:15" ht="16.05" customHeight="1" x14ac:dyDescent="0.3">
      <c r="A2" s="7" t="s">
        <v>10</v>
      </c>
      <c r="B2" s="3" t="s">
        <v>11</v>
      </c>
      <c r="C2" s="7">
        <v>59</v>
      </c>
      <c r="D2" s="7" t="s">
        <v>12</v>
      </c>
      <c r="E2" s="3" t="s">
        <v>13</v>
      </c>
      <c r="F2" s="5">
        <v>45235</v>
      </c>
      <c r="G2" s="5">
        <v>45425</v>
      </c>
      <c r="H2" s="10">
        <v>800</v>
      </c>
      <c r="I2" s="4">
        <v>25</v>
      </c>
      <c r="J2" s="3" t="s">
        <v>14</v>
      </c>
      <c r="K2" s="6" t="s">
        <v>15</v>
      </c>
      <c r="L2" s="11">
        <f>IF(DATEDIF(F2,G2,"m")=0,1,DATEDIF(F2,G2,"m"))</f>
        <v>6</v>
      </c>
      <c r="M2" s="7" t="str">
        <f>IF(K2&lt;&gt;"","Yes","No")</f>
        <v>Yes</v>
      </c>
      <c r="N2" s="11">
        <v>4800</v>
      </c>
      <c r="O2" s="7" t="str">
        <f>IF(C2&gt;30,"Adults",IF(C2&gt;45,"Seniors","Youth"))</f>
        <v>Adults</v>
      </c>
    </row>
    <row r="3" spans="1:15" ht="16.05" customHeight="1" x14ac:dyDescent="0.3">
      <c r="A3" s="7" t="s">
        <v>16</v>
      </c>
      <c r="B3" s="3" t="s">
        <v>17</v>
      </c>
      <c r="C3" s="7">
        <v>27</v>
      </c>
      <c r="D3" s="7" t="s">
        <v>12</v>
      </c>
      <c r="E3" s="3" t="s">
        <v>13</v>
      </c>
      <c r="F3" s="5">
        <v>45714</v>
      </c>
      <c r="G3" s="5">
        <v>45740</v>
      </c>
      <c r="H3" s="10">
        <v>800</v>
      </c>
      <c r="I3" s="4">
        <v>20</v>
      </c>
      <c r="J3" s="3" t="s">
        <v>18</v>
      </c>
      <c r="K3" s="6" t="s">
        <v>19</v>
      </c>
      <c r="L3" s="11">
        <f t="shared" ref="L3:L36" si="0">IF(DATEDIF(F3,G3,"m")=0,1,DATEDIF(F3,G3,"m"))</f>
        <v>1</v>
      </c>
      <c r="M3" s="7" t="str">
        <f t="shared" ref="M3:M36" si="1">IF(K3&lt;&gt;"","Yes","No")</f>
        <v>Yes</v>
      </c>
      <c r="N3" s="11">
        <v>800</v>
      </c>
      <c r="O3" s="7" t="str">
        <f t="shared" ref="O3:O36" si="2">IF(C3&gt;30,"Adults",IF(C3&gt;45,"Seniors","Youth"))</f>
        <v>Youth</v>
      </c>
    </row>
    <row r="4" spans="1:15" ht="16.05" customHeight="1" x14ac:dyDescent="0.3">
      <c r="A4" s="7" t="s">
        <v>20</v>
      </c>
      <c r="B4" s="3" t="s">
        <v>21</v>
      </c>
      <c r="C4" s="7">
        <v>24</v>
      </c>
      <c r="D4" s="7" t="s">
        <v>12</v>
      </c>
      <c r="E4" s="3" t="s">
        <v>22</v>
      </c>
      <c r="F4" s="5">
        <v>45191</v>
      </c>
      <c r="G4" s="5">
        <v>45371</v>
      </c>
      <c r="H4" s="10">
        <v>1200</v>
      </c>
      <c r="I4" s="4">
        <v>18</v>
      </c>
      <c r="J4" s="3" t="s">
        <v>23</v>
      </c>
      <c r="K4" s="6" t="s">
        <v>24</v>
      </c>
      <c r="L4" s="11">
        <f t="shared" si="0"/>
        <v>5</v>
      </c>
      <c r="M4" s="7" t="str">
        <f t="shared" si="1"/>
        <v>Yes</v>
      </c>
      <c r="N4" s="11">
        <v>6000</v>
      </c>
      <c r="O4" s="7" t="str">
        <f t="shared" si="2"/>
        <v>Youth</v>
      </c>
    </row>
    <row r="5" spans="1:15" ht="16.05" customHeight="1" x14ac:dyDescent="0.3">
      <c r="A5" s="7" t="s">
        <v>25</v>
      </c>
      <c r="B5" s="3" t="s">
        <v>26</v>
      </c>
      <c r="C5" s="7">
        <v>31</v>
      </c>
      <c r="D5" s="7" t="s">
        <v>27</v>
      </c>
      <c r="E5" s="3" t="s">
        <v>22</v>
      </c>
      <c r="F5" s="5">
        <v>45479</v>
      </c>
      <c r="G5" s="5">
        <v>45587</v>
      </c>
      <c r="H5" s="10">
        <v>1200</v>
      </c>
      <c r="I5" s="4">
        <v>16</v>
      </c>
      <c r="J5" s="3" t="s">
        <v>23</v>
      </c>
      <c r="K5" s="6" t="s">
        <v>28</v>
      </c>
      <c r="L5" s="11">
        <f t="shared" si="0"/>
        <v>3</v>
      </c>
      <c r="M5" s="7" t="str">
        <f t="shared" si="1"/>
        <v>Yes</v>
      </c>
      <c r="N5" s="11">
        <v>3600</v>
      </c>
      <c r="O5" s="7" t="str">
        <f t="shared" si="2"/>
        <v>Adults</v>
      </c>
    </row>
    <row r="6" spans="1:15" ht="16.05" customHeight="1" x14ac:dyDescent="0.3">
      <c r="A6" s="7" t="s">
        <v>29</v>
      </c>
      <c r="B6" s="3" t="s">
        <v>30</v>
      </c>
      <c r="C6" s="7">
        <v>19</v>
      </c>
      <c r="D6" s="7" t="s">
        <v>12</v>
      </c>
      <c r="E6" s="3" t="s">
        <v>31</v>
      </c>
      <c r="F6" s="5">
        <v>45286</v>
      </c>
      <c r="G6" s="5">
        <v>45501</v>
      </c>
      <c r="H6" s="10">
        <v>2500</v>
      </c>
      <c r="I6" s="4">
        <v>12</v>
      </c>
      <c r="J6" s="3" t="s">
        <v>14</v>
      </c>
      <c r="K6" s="6" t="s">
        <v>32</v>
      </c>
      <c r="L6" s="11">
        <f t="shared" si="0"/>
        <v>7</v>
      </c>
      <c r="M6" s="7" t="str">
        <f t="shared" si="1"/>
        <v>Yes</v>
      </c>
      <c r="N6" s="11">
        <v>17500</v>
      </c>
      <c r="O6" s="7" t="str">
        <f t="shared" si="2"/>
        <v>Youth</v>
      </c>
    </row>
    <row r="7" spans="1:15" ht="16.05" customHeight="1" x14ac:dyDescent="0.3">
      <c r="A7" s="7" t="s">
        <v>33</v>
      </c>
      <c r="B7" s="3" t="s">
        <v>34</v>
      </c>
      <c r="C7" s="7">
        <v>40</v>
      </c>
      <c r="D7" s="7" t="s">
        <v>12</v>
      </c>
      <c r="E7" s="3" t="s">
        <v>13</v>
      </c>
      <c r="F7" s="5">
        <v>45317</v>
      </c>
      <c r="G7" s="5">
        <v>45392</v>
      </c>
      <c r="H7" s="10">
        <v>800</v>
      </c>
      <c r="I7" s="4">
        <v>14</v>
      </c>
      <c r="J7" s="3" t="s">
        <v>35</v>
      </c>
      <c r="K7" s="6" t="s">
        <v>36</v>
      </c>
      <c r="L7" s="11">
        <f t="shared" si="0"/>
        <v>2</v>
      </c>
      <c r="M7" s="7" t="str">
        <f t="shared" si="1"/>
        <v>Yes</v>
      </c>
      <c r="N7" s="11">
        <v>1600</v>
      </c>
      <c r="O7" s="7" t="str">
        <f t="shared" si="2"/>
        <v>Adults</v>
      </c>
    </row>
    <row r="8" spans="1:15" ht="16.05" customHeight="1" x14ac:dyDescent="0.3">
      <c r="A8" s="7" t="s">
        <v>37</v>
      </c>
      <c r="B8" s="3" t="s">
        <v>38</v>
      </c>
      <c r="C8" s="7">
        <v>41</v>
      </c>
      <c r="D8" s="7" t="s">
        <v>27</v>
      </c>
      <c r="E8" s="3" t="s">
        <v>13</v>
      </c>
      <c r="F8" s="5">
        <v>45588</v>
      </c>
      <c r="G8" s="5">
        <v>45677</v>
      </c>
      <c r="H8" s="10">
        <v>800</v>
      </c>
      <c r="I8" s="4">
        <v>25</v>
      </c>
      <c r="J8" s="3" t="s">
        <v>18</v>
      </c>
      <c r="K8" s="3"/>
      <c r="L8" s="11">
        <f t="shared" si="0"/>
        <v>2</v>
      </c>
      <c r="M8" s="7" t="str">
        <f t="shared" si="1"/>
        <v>No</v>
      </c>
      <c r="N8" s="11">
        <v>1600</v>
      </c>
      <c r="O8" s="7" t="str">
        <f t="shared" si="2"/>
        <v>Adults</v>
      </c>
    </row>
    <row r="9" spans="1:15" ht="16.05" customHeight="1" x14ac:dyDescent="0.3">
      <c r="A9" s="7" t="s">
        <v>39</v>
      </c>
      <c r="B9" s="3" t="s">
        <v>40</v>
      </c>
      <c r="C9" s="7">
        <v>43</v>
      </c>
      <c r="D9" s="7" t="s">
        <v>12</v>
      </c>
      <c r="E9" s="3" t="s">
        <v>41</v>
      </c>
      <c r="F9" s="5">
        <v>45450</v>
      </c>
      <c r="G9" s="5">
        <v>45563</v>
      </c>
      <c r="H9" s="10">
        <v>1800</v>
      </c>
      <c r="I9" s="4">
        <v>28</v>
      </c>
      <c r="J9" s="3" t="s">
        <v>42</v>
      </c>
      <c r="K9" s="3"/>
      <c r="L9" s="11">
        <f t="shared" si="0"/>
        <v>3</v>
      </c>
      <c r="M9" s="7" t="str">
        <f t="shared" si="1"/>
        <v>No</v>
      </c>
      <c r="N9" s="11">
        <v>5400</v>
      </c>
      <c r="O9" s="7" t="str">
        <f t="shared" si="2"/>
        <v>Adults</v>
      </c>
    </row>
    <row r="10" spans="1:15" ht="16.05" customHeight="1" x14ac:dyDescent="0.3">
      <c r="A10" s="7" t="s">
        <v>43</v>
      </c>
      <c r="B10" s="3" t="s">
        <v>44</v>
      </c>
      <c r="C10" s="7">
        <v>42</v>
      </c>
      <c r="D10" s="7" t="s">
        <v>12</v>
      </c>
      <c r="E10" s="3" t="s">
        <v>13</v>
      </c>
      <c r="F10" s="5">
        <v>45569</v>
      </c>
      <c r="G10" s="5">
        <v>45582</v>
      </c>
      <c r="H10" s="10">
        <v>800</v>
      </c>
      <c r="I10" s="4">
        <v>3</v>
      </c>
      <c r="J10" s="3" t="s">
        <v>42</v>
      </c>
      <c r="K10" s="6" t="s">
        <v>45</v>
      </c>
      <c r="L10" s="11">
        <f t="shared" si="0"/>
        <v>1</v>
      </c>
      <c r="M10" s="7" t="str">
        <f t="shared" si="1"/>
        <v>Yes</v>
      </c>
      <c r="N10" s="11">
        <v>800</v>
      </c>
      <c r="O10" s="7" t="str">
        <f t="shared" si="2"/>
        <v>Adults</v>
      </c>
    </row>
    <row r="11" spans="1:15" ht="16.05" customHeight="1" x14ac:dyDescent="0.3">
      <c r="A11" s="7" t="s">
        <v>46</v>
      </c>
      <c r="B11" s="3" t="s">
        <v>47</v>
      </c>
      <c r="C11" s="7">
        <v>37</v>
      </c>
      <c r="D11" s="7" t="s">
        <v>12</v>
      </c>
      <c r="E11" s="3" t="s">
        <v>22</v>
      </c>
      <c r="F11" s="5">
        <v>45202</v>
      </c>
      <c r="G11" s="5">
        <v>45280</v>
      </c>
      <c r="H11" s="10">
        <v>1200</v>
      </c>
      <c r="I11" s="4">
        <v>29</v>
      </c>
      <c r="J11" s="3" t="s">
        <v>35</v>
      </c>
      <c r="K11" s="6" t="s">
        <v>48</v>
      </c>
      <c r="L11" s="11">
        <f t="shared" si="0"/>
        <v>2</v>
      </c>
      <c r="M11" s="7" t="str">
        <f t="shared" si="1"/>
        <v>Yes</v>
      </c>
      <c r="N11" s="11">
        <v>2400</v>
      </c>
      <c r="O11" s="7" t="str">
        <f t="shared" si="2"/>
        <v>Adults</v>
      </c>
    </row>
    <row r="12" spans="1:15" ht="16.05" customHeight="1" x14ac:dyDescent="0.3">
      <c r="A12" s="7" t="s">
        <v>49</v>
      </c>
      <c r="B12" s="3" t="s">
        <v>50</v>
      </c>
      <c r="C12" s="7">
        <v>48</v>
      </c>
      <c r="D12" s="7" t="s">
        <v>27</v>
      </c>
      <c r="E12" s="3" t="s">
        <v>22</v>
      </c>
      <c r="F12" s="5">
        <v>45297</v>
      </c>
      <c r="G12" s="5">
        <v>45459</v>
      </c>
      <c r="H12" s="10">
        <v>1200</v>
      </c>
      <c r="I12" s="4">
        <v>13</v>
      </c>
      <c r="J12" s="3" t="s">
        <v>14</v>
      </c>
      <c r="K12" s="6" t="s">
        <v>51</v>
      </c>
      <c r="L12" s="11">
        <f t="shared" si="0"/>
        <v>5</v>
      </c>
      <c r="M12" s="7" t="str">
        <f t="shared" si="1"/>
        <v>Yes</v>
      </c>
      <c r="N12" s="11">
        <v>6000</v>
      </c>
      <c r="O12" s="7" t="str">
        <f t="shared" si="2"/>
        <v>Adults</v>
      </c>
    </row>
    <row r="13" spans="1:15" ht="16.05" customHeight="1" x14ac:dyDescent="0.3">
      <c r="A13" s="7" t="s">
        <v>52</v>
      </c>
      <c r="B13" s="3" t="s">
        <v>53</v>
      </c>
      <c r="C13" s="7">
        <v>36</v>
      </c>
      <c r="D13" s="7" t="s">
        <v>12</v>
      </c>
      <c r="E13" s="3" t="s">
        <v>22</v>
      </c>
      <c r="F13" s="5">
        <v>45154</v>
      </c>
      <c r="G13" s="5">
        <v>45568</v>
      </c>
      <c r="H13" s="10">
        <v>1200</v>
      </c>
      <c r="I13" s="4">
        <v>19</v>
      </c>
      <c r="J13" s="3" t="s">
        <v>42</v>
      </c>
      <c r="K13" s="6" t="s">
        <v>54</v>
      </c>
      <c r="L13" s="11">
        <f t="shared" si="0"/>
        <v>13</v>
      </c>
      <c r="M13" s="7" t="str">
        <f t="shared" si="1"/>
        <v>Yes</v>
      </c>
      <c r="N13" s="11">
        <v>15600</v>
      </c>
      <c r="O13" s="7" t="str">
        <f t="shared" si="2"/>
        <v>Adults</v>
      </c>
    </row>
    <row r="14" spans="1:15" ht="16.05" customHeight="1" x14ac:dyDescent="0.3">
      <c r="A14" s="7" t="s">
        <v>55</v>
      </c>
      <c r="B14" s="3" t="s">
        <v>56</v>
      </c>
      <c r="C14" s="7">
        <v>48</v>
      </c>
      <c r="D14" s="7" t="s">
        <v>27</v>
      </c>
      <c r="E14" s="3" t="s">
        <v>41</v>
      </c>
      <c r="F14" s="5">
        <v>45556</v>
      </c>
      <c r="G14" s="5">
        <v>45641</v>
      </c>
      <c r="H14" s="10">
        <v>1800</v>
      </c>
      <c r="I14" s="4">
        <v>22</v>
      </c>
      <c r="J14" s="3" t="s">
        <v>42</v>
      </c>
      <c r="K14" s="3"/>
      <c r="L14" s="11">
        <f t="shared" si="0"/>
        <v>2</v>
      </c>
      <c r="M14" s="7" t="str">
        <f t="shared" si="1"/>
        <v>No</v>
      </c>
      <c r="N14" s="11">
        <v>3600</v>
      </c>
      <c r="O14" s="7" t="str">
        <f t="shared" si="2"/>
        <v>Adults</v>
      </c>
    </row>
    <row r="15" spans="1:15" ht="16.05" customHeight="1" x14ac:dyDescent="0.3">
      <c r="A15" s="7" t="s">
        <v>57</v>
      </c>
      <c r="B15" s="3" t="s">
        <v>58</v>
      </c>
      <c r="C15" s="7">
        <v>39</v>
      </c>
      <c r="D15" s="7" t="s">
        <v>12</v>
      </c>
      <c r="E15" s="3" t="s">
        <v>22</v>
      </c>
      <c r="F15" s="5">
        <v>45065</v>
      </c>
      <c r="G15" s="5">
        <v>45242</v>
      </c>
      <c r="H15" s="10">
        <v>1200</v>
      </c>
      <c r="I15" s="4">
        <v>28</v>
      </c>
      <c r="J15" s="3" t="s">
        <v>35</v>
      </c>
      <c r="K15" s="3"/>
      <c r="L15" s="11">
        <f t="shared" si="0"/>
        <v>5</v>
      </c>
      <c r="M15" s="7" t="str">
        <f t="shared" si="1"/>
        <v>No</v>
      </c>
      <c r="N15" s="11">
        <v>6000</v>
      </c>
      <c r="O15" s="7" t="str">
        <f t="shared" si="2"/>
        <v>Adults</v>
      </c>
    </row>
    <row r="16" spans="1:15" ht="16.05" customHeight="1" x14ac:dyDescent="0.3">
      <c r="A16" s="7" t="s">
        <v>59</v>
      </c>
      <c r="B16" s="3" t="s">
        <v>60</v>
      </c>
      <c r="C16" s="7">
        <v>44</v>
      </c>
      <c r="D16" s="7" t="s">
        <v>27</v>
      </c>
      <c r="E16" s="3" t="s">
        <v>13</v>
      </c>
      <c r="F16" s="5">
        <v>45333</v>
      </c>
      <c r="G16" s="5">
        <v>45540</v>
      </c>
      <c r="H16" s="10">
        <v>800</v>
      </c>
      <c r="I16" s="4">
        <v>8</v>
      </c>
      <c r="J16" s="6" t="s">
        <v>23</v>
      </c>
      <c r="K16" s="3"/>
      <c r="L16" s="11">
        <f t="shared" si="0"/>
        <v>6</v>
      </c>
      <c r="M16" s="7" t="str">
        <f t="shared" si="1"/>
        <v>No</v>
      </c>
      <c r="N16" s="11">
        <v>4800</v>
      </c>
      <c r="O16" s="7" t="str">
        <f t="shared" si="2"/>
        <v>Adults</v>
      </c>
    </row>
    <row r="17" spans="1:15" ht="16.05" customHeight="1" x14ac:dyDescent="0.3">
      <c r="A17" s="7" t="s">
        <v>61</v>
      </c>
      <c r="B17" s="3" t="s">
        <v>62</v>
      </c>
      <c r="C17" s="7">
        <v>39</v>
      </c>
      <c r="D17" s="7" t="s">
        <v>12</v>
      </c>
      <c r="E17" s="3" t="s">
        <v>31</v>
      </c>
      <c r="F17" s="5">
        <v>45702</v>
      </c>
      <c r="G17" s="5">
        <v>45732</v>
      </c>
      <c r="H17" s="10">
        <v>2500</v>
      </c>
      <c r="I17" s="4">
        <v>14</v>
      </c>
      <c r="J17" s="3" t="s">
        <v>42</v>
      </c>
      <c r="K17" s="3"/>
      <c r="L17" s="11">
        <f t="shared" si="0"/>
        <v>1</v>
      </c>
      <c r="M17" s="7" t="str">
        <f t="shared" si="1"/>
        <v>No</v>
      </c>
      <c r="N17" s="11">
        <v>2500</v>
      </c>
      <c r="O17" s="7" t="str">
        <f t="shared" si="2"/>
        <v>Adults</v>
      </c>
    </row>
    <row r="18" spans="1:15" ht="16.05" customHeight="1" x14ac:dyDescent="0.3">
      <c r="A18" s="7" t="s">
        <v>63</v>
      </c>
      <c r="B18" s="3" t="s">
        <v>64</v>
      </c>
      <c r="C18" s="7">
        <v>35</v>
      </c>
      <c r="D18" s="7" t="s">
        <v>12</v>
      </c>
      <c r="E18" s="3" t="s">
        <v>22</v>
      </c>
      <c r="F18" s="5">
        <v>45329</v>
      </c>
      <c r="G18" s="5">
        <v>45685</v>
      </c>
      <c r="H18" s="10">
        <v>1200</v>
      </c>
      <c r="I18" s="4">
        <v>25</v>
      </c>
      <c r="J18" s="6" t="s">
        <v>23</v>
      </c>
      <c r="K18" s="3"/>
      <c r="L18" s="11">
        <f t="shared" si="0"/>
        <v>11</v>
      </c>
      <c r="M18" s="7" t="str">
        <f t="shared" si="1"/>
        <v>No</v>
      </c>
      <c r="N18" s="11">
        <v>13200</v>
      </c>
      <c r="O18" s="7" t="str">
        <f t="shared" si="2"/>
        <v>Adults</v>
      </c>
    </row>
    <row r="19" spans="1:15" ht="16.05" customHeight="1" x14ac:dyDescent="0.3">
      <c r="A19" s="7" t="s">
        <v>65</v>
      </c>
      <c r="B19" s="3" t="s">
        <v>66</v>
      </c>
      <c r="C19" s="7">
        <v>56</v>
      </c>
      <c r="D19" s="7" t="s">
        <v>27</v>
      </c>
      <c r="E19" s="3" t="s">
        <v>31</v>
      </c>
      <c r="F19" s="5">
        <v>45213</v>
      </c>
      <c r="G19" s="5">
        <v>45649</v>
      </c>
      <c r="H19" s="10">
        <v>2500</v>
      </c>
      <c r="I19" s="4">
        <v>13</v>
      </c>
      <c r="J19" s="3" t="s">
        <v>67</v>
      </c>
      <c r="K19" s="3"/>
      <c r="L19" s="11">
        <f t="shared" si="0"/>
        <v>14</v>
      </c>
      <c r="M19" s="7" t="str">
        <f t="shared" si="1"/>
        <v>No</v>
      </c>
      <c r="N19" s="11">
        <v>35000</v>
      </c>
      <c r="O19" s="7" t="str">
        <f t="shared" si="2"/>
        <v>Adults</v>
      </c>
    </row>
    <row r="20" spans="1:15" ht="16.05" customHeight="1" x14ac:dyDescent="0.3">
      <c r="A20" s="7" t="s">
        <v>68</v>
      </c>
      <c r="B20" s="3" t="s">
        <v>69</v>
      </c>
      <c r="C20" s="7">
        <v>27</v>
      </c>
      <c r="D20" s="7" t="s">
        <v>27</v>
      </c>
      <c r="E20" s="3" t="s">
        <v>13</v>
      </c>
      <c r="F20" s="5">
        <v>45354</v>
      </c>
      <c r="G20" s="5">
        <v>45664</v>
      </c>
      <c r="H20" s="10">
        <v>800</v>
      </c>
      <c r="I20" s="4">
        <v>26</v>
      </c>
      <c r="J20" s="3" t="s">
        <v>35</v>
      </c>
      <c r="K20" s="3"/>
      <c r="L20" s="11">
        <f t="shared" si="0"/>
        <v>10</v>
      </c>
      <c r="M20" s="7" t="str">
        <f t="shared" si="1"/>
        <v>No</v>
      </c>
      <c r="N20" s="11">
        <v>8000</v>
      </c>
      <c r="O20" s="7" t="str">
        <f t="shared" si="2"/>
        <v>Youth</v>
      </c>
    </row>
    <row r="21" spans="1:15" ht="16.05" customHeight="1" x14ac:dyDescent="0.3">
      <c r="A21" s="7" t="s">
        <v>70</v>
      </c>
      <c r="B21" s="3" t="s">
        <v>71</v>
      </c>
      <c r="C21" s="7">
        <v>28</v>
      </c>
      <c r="D21" s="7" t="s">
        <v>12</v>
      </c>
      <c r="E21" s="3" t="s">
        <v>31</v>
      </c>
      <c r="F21" s="5">
        <v>45417</v>
      </c>
      <c r="G21" s="5">
        <v>45608</v>
      </c>
      <c r="H21" s="10">
        <v>2500</v>
      </c>
      <c r="I21" s="4">
        <v>21</v>
      </c>
      <c r="J21" s="3" t="s">
        <v>35</v>
      </c>
      <c r="K21" s="6" t="s">
        <v>72</v>
      </c>
      <c r="L21" s="11">
        <f t="shared" si="0"/>
        <v>6</v>
      </c>
      <c r="M21" s="7" t="str">
        <f t="shared" si="1"/>
        <v>Yes</v>
      </c>
      <c r="N21" s="11">
        <v>15000</v>
      </c>
      <c r="O21" s="7" t="str">
        <f t="shared" si="2"/>
        <v>Youth</v>
      </c>
    </row>
    <row r="22" spans="1:15" ht="16.05" customHeight="1" x14ac:dyDescent="0.3">
      <c r="A22" s="7" t="s">
        <v>73</v>
      </c>
      <c r="B22" s="3" t="s">
        <v>74</v>
      </c>
      <c r="C22" s="7">
        <v>57</v>
      </c>
      <c r="D22" s="7" t="s">
        <v>27</v>
      </c>
      <c r="E22" s="3" t="s">
        <v>41</v>
      </c>
      <c r="F22" s="5">
        <v>45146</v>
      </c>
      <c r="G22" s="5">
        <v>45674</v>
      </c>
      <c r="H22" s="10">
        <v>1800</v>
      </c>
      <c r="I22" s="4">
        <v>19</v>
      </c>
      <c r="J22" s="3" t="s">
        <v>35</v>
      </c>
      <c r="K22" s="3"/>
      <c r="L22" s="11">
        <f t="shared" si="0"/>
        <v>17</v>
      </c>
      <c r="M22" s="7" t="str">
        <f t="shared" si="1"/>
        <v>No</v>
      </c>
      <c r="N22" s="11">
        <v>30600</v>
      </c>
      <c r="O22" s="7" t="str">
        <f t="shared" si="2"/>
        <v>Adults</v>
      </c>
    </row>
    <row r="23" spans="1:15" ht="16.05" customHeight="1" x14ac:dyDescent="0.3">
      <c r="A23" s="7" t="s">
        <v>75</v>
      </c>
      <c r="B23" s="3" t="s">
        <v>76</v>
      </c>
      <c r="C23" s="7">
        <v>26</v>
      </c>
      <c r="D23" s="7" t="s">
        <v>27</v>
      </c>
      <c r="E23" s="3" t="s">
        <v>41</v>
      </c>
      <c r="F23" s="5">
        <v>45320</v>
      </c>
      <c r="G23" s="5">
        <v>45616</v>
      </c>
      <c r="H23" s="10">
        <v>1800</v>
      </c>
      <c r="I23" s="4">
        <v>5</v>
      </c>
      <c r="J23" s="6" t="s">
        <v>14</v>
      </c>
      <c r="K23" s="3"/>
      <c r="L23" s="11">
        <f t="shared" si="0"/>
        <v>9</v>
      </c>
      <c r="M23" s="7" t="str">
        <f t="shared" si="1"/>
        <v>No</v>
      </c>
      <c r="N23" s="11">
        <v>16200</v>
      </c>
      <c r="O23" s="7" t="str">
        <f t="shared" si="2"/>
        <v>Youth</v>
      </c>
    </row>
    <row r="24" spans="1:15" ht="16.05" customHeight="1" x14ac:dyDescent="0.3">
      <c r="A24" s="7" t="s">
        <v>77</v>
      </c>
      <c r="B24" s="3" t="s">
        <v>78</v>
      </c>
      <c r="C24" s="7">
        <v>48</v>
      </c>
      <c r="D24" s="7" t="s">
        <v>12</v>
      </c>
      <c r="E24" s="3" t="s">
        <v>41</v>
      </c>
      <c r="F24" s="5">
        <v>45451</v>
      </c>
      <c r="G24" s="5">
        <v>45455</v>
      </c>
      <c r="H24" s="10">
        <v>1800</v>
      </c>
      <c r="I24" s="4">
        <v>18</v>
      </c>
      <c r="J24" s="3" t="s">
        <v>67</v>
      </c>
      <c r="K24" s="3"/>
      <c r="L24" s="11">
        <f t="shared" si="0"/>
        <v>1</v>
      </c>
      <c r="M24" s="7" t="str">
        <f t="shared" si="1"/>
        <v>No</v>
      </c>
      <c r="N24" s="11">
        <v>1800</v>
      </c>
      <c r="O24" s="7" t="str">
        <f t="shared" si="2"/>
        <v>Adults</v>
      </c>
    </row>
    <row r="25" spans="1:15" ht="16.05" customHeight="1" x14ac:dyDescent="0.3">
      <c r="A25" s="7" t="s">
        <v>79</v>
      </c>
      <c r="B25" s="3" t="s">
        <v>80</v>
      </c>
      <c r="C25" s="7">
        <v>25</v>
      </c>
      <c r="D25" s="7" t="s">
        <v>27</v>
      </c>
      <c r="E25" s="3" t="s">
        <v>22</v>
      </c>
      <c r="F25" s="5">
        <v>45439</v>
      </c>
      <c r="G25" s="5">
        <v>45730</v>
      </c>
      <c r="H25" s="10">
        <v>1200</v>
      </c>
      <c r="I25" s="4">
        <v>6</v>
      </c>
      <c r="J25" s="6" t="s">
        <v>14</v>
      </c>
      <c r="K25" s="3"/>
      <c r="L25" s="11">
        <f t="shared" si="0"/>
        <v>9</v>
      </c>
      <c r="M25" s="7" t="str">
        <f t="shared" si="1"/>
        <v>No</v>
      </c>
      <c r="N25" s="11">
        <v>10800</v>
      </c>
      <c r="O25" s="7" t="str">
        <f t="shared" si="2"/>
        <v>Youth</v>
      </c>
    </row>
    <row r="26" spans="1:15" ht="16.05" customHeight="1" x14ac:dyDescent="0.3">
      <c r="A26" s="7" t="s">
        <v>81</v>
      </c>
      <c r="B26" s="3" t="s">
        <v>82</v>
      </c>
      <c r="C26" s="7">
        <v>53</v>
      </c>
      <c r="D26" s="7" t="s">
        <v>12</v>
      </c>
      <c r="E26" s="3" t="s">
        <v>41</v>
      </c>
      <c r="F26" s="5">
        <v>45286</v>
      </c>
      <c r="G26" s="5">
        <v>45372</v>
      </c>
      <c r="H26" s="10">
        <v>1800</v>
      </c>
      <c r="I26" s="4">
        <v>17</v>
      </c>
      <c r="J26" s="3" t="s">
        <v>35</v>
      </c>
      <c r="K26" s="6" t="s">
        <v>83</v>
      </c>
      <c r="L26" s="11">
        <f t="shared" si="0"/>
        <v>2</v>
      </c>
      <c r="M26" s="7" t="str">
        <f t="shared" si="1"/>
        <v>Yes</v>
      </c>
      <c r="N26" s="11">
        <v>3600</v>
      </c>
      <c r="O26" s="7" t="str">
        <f t="shared" si="2"/>
        <v>Adults</v>
      </c>
    </row>
    <row r="27" spans="1:15" ht="16.05" customHeight="1" x14ac:dyDescent="0.3">
      <c r="A27" s="7" t="s">
        <v>84</v>
      </c>
      <c r="B27" s="3" t="s">
        <v>85</v>
      </c>
      <c r="C27" s="7">
        <v>42</v>
      </c>
      <c r="D27" s="7" t="s">
        <v>27</v>
      </c>
      <c r="E27" s="3" t="s">
        <v>22</v>
      </c>
      <c r="F27" s="5">
        <v>45702</v>
      </c>
      <c r="G27" s="5">
        <v>45727</v>
      </c>
      <c r="H27" s="10">
        <v>1200</v>
      </c>
      <c r="I27" s="4">
        <v>3</v>
      </c>
      <c r="J27" s="3" t="s">
        <v>67</v>
      </c>
      <c r="K27" s="3"/>
      <c r="L27" s="11">
        <f t="shared" si="0"/>
        <v>1</v>
      </c>
      <c r="M27" s="7" t="str">
        <f t="shared" si="1"/>
        <v>No</v>
      </c>
      <c r="N27" s="11">
        <v>1200</v>
      </c>
      <c r="O27" s="7" t="str">
        <f t="shared" si="2"/>
        <v>Adults</v>
      </c>
    </row>
    <row r="28" spans="1:15" ht="16.05" customHeight="1" x14ac:dyDescent="0.3">
      <c r="A28" s="7" t="s">
        <v>86</v>
      </c>
      <c r="B28" s="3" t="s">
        <v>87</v>
      </c>
      <c r="C28" s="7">
        <v>24</v>
      </c>
      <c r="D28" s="7" t="s">
        <v>12</v>
      </c>
      <c r="E28" s="3" t="s">
        <v>31</v>
      </c>
      <c r="F28" s="5">
        <v>45698</v>
      </c>
      <c r="G28" s="5">
        <v>45726</v>
      </c>
      <c r="H28" s="10">
        <v>2500</v>
      </c>
      <c r="I28" s="4">
        <v>28</v>
      </c>
      <c r="J28" s="3" t="s">
        <v>35</v>
      </c>
      <c r="K28" s="3"/>
      <c r="L28" s="11">
        <f t="shared" si="0"/>
        <v>1</v>
      </c>
      <c r="M28" s="7" t="str">
        <f t="shared" si="1"/>
        <v>No</v>
      </c>
      <c r="N28" s="11">
        <v>2500</v>
      </c>
      <c r="O28" s="7" t="str">
        <f t="shared" si="2"/>
        <v>Youth</v>
      </c>
    </row>
    <row r="29" spans="1:15" ht="16.05" customHeight="1" x14ac:dyDescent="0.3">
      <c r="A29" s="7" t="s">
        <v>88</v>
      </c>
      <c r="B29" s="3" t="s">
        <v>89</v>
      </c>
      <c r="C29" s="7">
        <v>53</v>
      </c>
      <c r="D29" s="7" t="s">
        <v>12</v>
      </c>
      <c r="E29" s="3" t="s">
        <v>22</v>
      </c>
      <c r="F29" s="5">
        <v>45614</v>
      </c>
      <c r="G29" s="5">
        <v>45645</v>
      </c>
      <c r="H29" s="10">
        <v>1200</v>
      </c>
      <c r="I29" s="4">
        <v>23</v>
      </c>
      <c r="J29" s="3" t="s">
        <v>18</v>
      </c>
      <c r="K29" s="3"/>
      <c r="L29" s="11">
        <f t="shared" si="0"/>
        <v>1</v>
      </c>
      <c r="M29" s="7" t="str">
        <f t="shared" si="1"/>
        <v>No</v>
      </c>
      <c r="N29" s="11">
        <v>1200</v>
      </c>
      <c r="O29" s="7" t="str">
        <f t="shared" si="2"/>
        <v>Adults</v>
      </c>
    </row>
    <row r="30" spans="1:15" ht="16.05" customHeight="1" x14ac:dyDescent="0.3">
      <c r="A30" s="7" t="s">
        <v>90</v>
      </c>
      <c r="B30" s="3" t="s">
        <v>91</v>
      </c>
      <c r="C30" s="7">
        <v>29</v>
      </c>
      <c r="D30" s="7" t="s">
        <v>27</v>
      </c>
      <c r="E30" s="3" t="s">
        <v>31</v>
      </c>
      <c r="F30" s="5">
        <v>45401</v>
      </c>
      <c r="G30" s="5">
        <v>45408</v>
      </c>
      <c r="H30" s="10">
        <v>2500</v>
      </c>
      <c r="I30" s="4">
        <v>8</v>
      </c>
      <c r="J30" s="6" t="s">
        <v>23</v>
      </c>
      <c r="K30" s="3"/>
      <c r="L30" s="11">
        <f t="shared" si="0"/>
        <v>1</v>
      </c>
      <c r="M30" s="7" t="str">
        <f t="shared" si="1"/>
        <v>No</v>
      </c>
      <c r="N30" s="11">
        <v>2500</v>
      </c>
      <c r="O30" s="7" t="str">
        <f t="shared" si="2"/>
        <v>Youth</v>
      </c>
    </row>
    <row r="31" spans="1:15" ht="16.05" customHeight="1" x14ac:dyDescent="0.3">
      <c r="A31" s="7" t="s">
        <v>92</v>
      </c>
      <c r="B31" s="3" t="s">
        <v>93</v>
      </c>
      <c r="C31" s="7">
        <v>31</v>
      </c>
      <c r="D31" s="7" t="s">
        <v>27</v>
      </c>
      <c r="E31" s="3" t="s">
        <v>31</v>
      </c>
      <c r="F31" s="5">
        <v>45667</v>
      </c>
      <c r="G31" s="5">
        <v>45745</v>
      </c>
      <c r="H31" s="10">
        <v>2500</v>
      </c>
      <c r="I31" s="4">
        <v>23</v>
      </c>
      <c r="J31" s="3" t="s">
        <v>42</v>
      </c>
      <c r="K31" s="6" t="s">
        <v>94</v>
      </c>
      <c r="L31" s="11">
        <f t="shared" si="0"/>
        <v>2</v>
      </c>
      <c r="M31" s="7" t="str">
        <f t="shared" si="1"/>
        <v>Yes</v>
      </c>
      <c r="N31" s="11">
        <v>5000</v>
      </c>
      <c r="O31" s="7" t="str">
        <f t="shared" si="2"/>
        <v>Adults</v>
      </c>
    </row>
    <row r="32" spans="1:15" ht="16.05" customHeight="1" x14ac:dyDescent="0.3">
      <c r="A32" s="7" t="s">
        <v>95</v>
      </c>
      <c r="B32" s="3" t="s">
        <v>96</v>
      </c>
      <c r="C32" s="7">
        <v>52</v>
      </c>
      <c r="D32" s="7" t="s">
        <v>27</v>
      </c>
      <c r="E32" s="3" t="s">
        <v>13</v>
      </c>
      <c r="F32" s="5">
        <v>45088</v>
      </c>
      <c r="G32" s="5">
        <v>45656</v>
      </c>
      <c r="H32" s="10">
        <v>800</v>
      </c>
      <c r="I32" s="4">
        <v>9</v>
      </c>
      <c r="J32" s="3" t="s">
        <v>67</v>
      </c>
      <c r="K32" s="6" t="s">
        <v>97</v>
      </c>
      <c r="L32" s="11">
        <f t="shared" si="0"/>
        <v>18</v>
      </c>
      <c r="M32" s="7" t="str">
        <f t="shared" si="1"/>
        <v>Yes</v>
      </c>
      <c r="N32" s="11">
        <v>14400</v>
      </c>
      <c r="O32" s="7" t="str">
        <f t="shared" si="2"/>
        <v>Adults</v>
      </c>
    </row>
    <row r="33" spans="1:15" ht="16.05" customHeight="1" x14ac:dyDescent="0.3">
      <c r="A33" s="7" t="s">
        <v>98</v>
      </c>
      <c r="B33" s="3" t="s">
        <v>99</v>
      </c>
      <c r="C33" s="7">
        <v>20</v>
      </c>
      <c r="D33" s="7" t="s">
        <v>12</v>
      </c>
      <c r="E33" s="3" t="s">
        <v>22</v>
      </c>
      <c r="F33" s="5">
        <v>45391</v>
      </c>
      <c r="G33" s="5">
        <v>45604</v>
      </c>
      <c r="H33" s="10">
        <v>1200</v>
      </c>
      <c r="I33" s="4">
        <v>2</v>
      </c>
      <c r="J33" s="3" t="s">
        <v>35</v>
      </c>
      <c r="K33" s="3"/>
      <c r="L33" s="11">
        <f t="shared" si="0"/>
        <v>6</v>
      </c>
      <c r="M33" s="7" t="str">
        <f t="shared" si="1"/>
        <v>No</v>
      </c>
      <c r="N33" s="11">
        <v>7200</v>
      </c>
      <c r="O33" s="7" t="str">
        <f t="shared" si="2"/>
        <v>Youth</v>
      </c>
    </row>
    <row r="34" spans="1:15" ht="16.05" customHeight="1" x14ac:dyDescent="0.3">
      <c r="A34" s="7" t="s">
        <v>100</v>
      </c>
      <c r="B34" s="3" t="s">
        <v>101</v>
      </c>
      <c r="C34" s="7">
        <v>22</v>
      </c>
      <c r="D34" s="7" t="s">
        <v>12</v>
      </c>
      <c r="E34" s="3" t="s">
        <v>13</v>
      </c>
      <c r="F34" s="5">
        <v>45699</v>
      </c>
      <c r="G34" s="5">
        <v>45740</v>
      </c>
      <c r="H34" s="10">
        <v>800</v>
      </c>
      <c r="I34" s="4">
        <v>30</v>
      </c>
      <c r="J34" s="3" t="s">
        <v>35</v>
      </c>
      <c r="K34" s="3"/>
      <c r="L34" s="11">
        <f t="shared" si="0"/>
        <v>1</v>
      </c>
      <c r="M34" s="7" t="str">
        <f t="shared" si="1"/>
        <v>No</v>
      </c>
      <c r="N34" s="11">
        <v>800</v>
      </c>
      <c r="O34" s="7" t="str">
        <f t="shared" si="2"/>
        <v>Youth</v>
      </c>
    </row>
    <row r="35" spans="1:15" ht="16.05" customHeight="1" x14ac:dyDescent="0.3">
      <c r="A35" s="7" t="s">
        <v>102</v>
      </c>
      <c r="B35" s="3" t="s">
        <v>103</v>
      </c>
      <c r="C35" s="7">
        <v>23</v>
      </c>
      <c r="D35" s="7" t="s">
        <v>12</v>
      </c>
      <c r="E35" s="3" t="s">
        <v>41</v>
      </c>
      <c r="F35" s="5">
        <v>45588</v>
      </c>
      <c r="G35" s="5">
        <v>45721</v>
      </c>
      <c r="H35" s="10">
        <v>1800</v>
      </c>
      <c r="I35" s="4">
        <v>23</v>
      </c>
      <c r="J35" s="3" t="s">
        <v>18</v>
      </c>
      <c r="K35" s="6" t="s">
        <v>104</v>
      </c>
      <c r="L35" s="11">
        <f t="shared" si="0"/>
        <v>4</v>
      </c>
      <c r="M35" s="7" t="str">
        <f t="shared" si="1"/>
        <v>Yes</v>
      </c>
      <c r="N35" s="11">
        <v>7200</v>
      </c>
      <c r="O35" s="7" t="str">
        <f t="shared" si="2"/>
        <v>Youth</v>
      </c>
    </row>
    <row r="36" spans="1:15" ht="16.05" customHeight="1" x14ac:dyDescent="0.3">
      <c r="A36" s="7" t="s">
        <v>105</v>
      </c>
      <c r="B36" s="3" t="s">
        <v>106</v>
      </c>
      <c r="C36" s="7">
        <v>27</v>
      </c>
      <c r="D36" s="7" t="s">
        <v>27</v>
      </c>
      <c r="E36" s="3" t="s">
        <v>22</v>
      </c>
      <c r="F36" s="5">
        <v>45312</v>
      </c>
      <c r="G36" s="5">
        <v>45652</v>
      </c>
      <c r="H36" s="10">
        <v>1200</v>
      </c>
      <c r="I36" s="4">
        <v>27</v>
      </c>
      <c r="J36" s="3" t="s">
        <v>18</v>
      </c>
      <c r="K36" s="3"/>
      <c r="L36" s="11">
        <f t="shared" si="0"/>
        <v>11</v>
      </c>
      <c r="M36" s="7" t="str">
        <f t="shared" si="1"/>
        <v>No</v>
      </c>
      <c r="N36" s="11">
        <v>13200</v>
      </c>
      <c r="O36" s="7" t="str">
        <f t="shared" si="2"/>
        <v>Youth</v>
      </c>
    </row>
  </sheetData>
  <autoFilter ref="A1:O36" xr:uid="{5B7054D7-9E44-4AC1-B1E5-079A45F04F25}"/>
  <conditionalFormatting sqref="B1:B36 E1:N36 O1">
    <cfRule type="expression" dxfId="16" priority="1">
      <formula>AND($I1048562&gt;8, L1048562&gt;=6)</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Referred</vt:lpstr>
      <vt:lpstr>Sheet3</vt:lpstr>
      <vt:lpstr>Pivots for Dash</vt:lpstr>
      <vt:lpstr>Dashboard</vt:lpstr>
      <vt:lpstr>Gender &amp; Age Distribution</vt:lpstr>
      <vt:lpstr>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DEVESH 95338</dc:creator>
  <cp:lastModifiedBy>DEVESH 95338</cp:lastModifiedBy>
  <dcterms:created xsi:type="dcterms:W3CDTF">2025-10-25T06:16:57Z</dcterms:created>
  <dcterms:modified xsi:type="dcterms:W3CDTF">2025-11-04T12:41:09Z</dcterms:modified>
</cp:coreProperties>
</file>